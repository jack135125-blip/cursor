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현재_통합_문서"/>
  <mc:AlternateContent xmlns:mc="http://schemas.openxmlformats.org/markup-compatibility/2006">
    <mc:Choice Requires="x15">
      <x15ac:absPath xmlns:x15ac="http://schemas.microsoft.com/office/spreadsheetml/2010/11/ac" url="https://gne097-my.sharepoint.com/personal/delta90_cwyeo-h_gne_go_kr/Documents/강의/2026.08.14. 교육과정 연수/"/>
    </mc:Choice>
  </mc:AlternateContent>
  <xr:revisionPtr revIDLastSave="174" documentId="8_{76188763-7A82-4E4C-B7A3-3A142562E8DE}" xr6:coauthVersionLast="47" xr6:coauthVersionMax="47" xr10:uidLastSave="{C834FCB4-B482-4C3F-B4E9-2659AB5C9A3A}"/>
  <bookViews>
    <workbookView xWindow="14010" yWindow="450" windowWidth="19905" windowHeight="14745" activeTab="2" xr2:uid="{00000000-000D-0000-FFFF-FFFF00000000}"/>
  </bookViews>
  <sheets>
    <sheet name="2027 전학년" sheetId="35" r:id="rId1"/>
    <sheet name="2027 입학생 3개년(1학년)" sheetId="37" r:id="rId2"/>
    <sheet name="2026 입학생 3개년(2학년)" sheetId="23" r:id="rId3"/>
    <sheet name="2025 입학생 3개년(3학년)" sheetId="38" r:id="rId4"/>
    <sheet name="(2022)보통교과 목록" sheetId="27" r:id="rId5"/>
    <sheet name="숨김" sheetId="30" state="hidden" r:id="rId6"/>
  </sheets>
  <externalReferences>
    <externalReference r:id="rId7"/>
  </externalReferences>
  <definedNames>
    <definedName name="_xlnm._FilterDatabase" localSheetId="4" hidden="1">'(2022)보통교과 목록'!$B$4:$K$294</definedName>
    <definedName name="_xlnm._FilterDatabase" localSheetId="0" hidden="1">'2027 전학년'!$A$1:$O$108</definedName>
    <definedName name="_xlnm._FilterDatabase" localSheetId="5" hidden="1">숨김!$B$2:$E$233</definedName>
    <definedName name="_xlnm.Print_Area" localSheetId="3">'2025 입학생 3개년(3학년)'!$A$1:$O$105</definedName>
    <definedName name="_xlnm.Print_Area" localSheetId="2">'2026 입학생 3개년(2학년)'!$A$1:$O$105</definedName>
    <definedName name="_xlnm.Print_Area" localSheetId="1">'2027 입학생 3개년(1학년)'!$A$1:$O$104</definedName>
    <definedName name="_xlnm.Print_Area" localSheetId="0">'2027 전학년'!$A$1:$O$108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27" roundtripDataChecksum="2SNuDiRJvWB4p3YKtYh8EdjhweEzuwJVBfhoMQHJjis="/>
    </ext>
  </extLst>
</workbook>
</file>

<file path=xl/calcChain.xml><?xml version="1.0" encoding="utf-8"?>
<calcChain xmlns="http://schemas.openxmlformats.org/spreadsheetml/2006/main">
  <c r="J109" i="35" l="1"/>
  <c r="K109" i="35"/>
  <c r="L109" i="35"/>
  <c r="I109" i="35"/>
  <c r="F39" i="37"/>
  <c r="F20" i="35"/>
  <c r="F14" i="35"/>
  <c r="F8" i="35"/>
  <c r="F87" i="35"/>
  <c r="F88" i="35" s="1"/>
  <c r="F89" i="35" s="1"/>
  <c r="F90" i="35" s="1"/>
  <c r="F86" i="35"/>
  <c r="F85" i="35"/>
  <c r="F84" i="35"/>
  <c r="F70" i="35"/>
  <c r="F71" i="35" s="1"/>
  <c r="F72" i="35" s="1"/>
  <c r="F73" i="35" s="1"/>
  <c r="F74" i="35" s="1"/>
  <c r="F75" i="35" s="1"/>
  <c r="F76" i="35" s="1"/>
  <c r="F77" i="35" s="1"/>
  <c r="F78" i="35" s="1"/>
  <c r="F79" i="35" s="1"/>
  <c r="F80" i="35" s="1"/>
  <c r="F81" i="35" s="1"/>
  <c r="F82" i="35" s="1"/>
  <c r="F83" i="35" s="1"/>
  <c r="F69" i="35"/>
  <c r="F68" i="35"/>
  <c r="F67" i="35"/>
  <c r="H109" i="35"/>
  <c r="M106" i="38"/>
  <c r="L104" i="38"/>
  <c r="K104" i="38"/>
  <c r="J104" i="38"/>
  <c r="I104" i="38"/>
  <c r="H104" i="38"/>
  <c r="G104" i="38"/>
  <c r="M104" i="38" s="1"/>
  <c r="M100" i="38"/>
  <c r="F89" i="38"/>
  <c r="F90" i="38" s="1"/>
  <c r="F91" i="38" s="1"/>
  <c r="F92" i="38" s="1"/>
  <c r="F93" i="38" s="1"/>
  <c r="F94" i="38" s="1"/>
  <c r="F95" i="38" s="1"/>
  <c r="F96" i="38" s="1"/>
  <c r="F97" i="38" s="1"/>
  <c r="F98" i="38" s="1"/>
  <c r="F99" i="38" s="1"/>
  <c r="F88" i="38"/>
  <c r="F87" i="38"/>
  <c r="F86" i="38"/>
  <c r="F85" i="38"/>
  <c r="F84" i="38"/>
  <c r="F70" i="38"/>
  <c r="F71" i="38" s="1"/>
  <c r="F72" i="38" s="1"/>
  <c r="F73" i="38" s="1"/>
  <c r="F74" i="38" s="1"/>
  <c r="F75" i="38" s="1"/>
  <c r="F76" i="38" s="1"/>
  <c r="F77" i="38" s="1"/>
  <c r="F78" i="38" s="1"/>
  <c r="F79" i="38" s="1"/>
  <c r="F80" i="38" s="1"/>
  <c r="F81" i="38" s="1"/>
  <c r="F82" i="38" s="1"/>
  <c r="F83" i="38" s="1"/>
  <c r="F69" i="38"/>
  <c r="F68" i="38"/>
  <c r="M67" i="38"/>
  <c r="F67" i="38"/>
  <c r="M65" i="38"/>
  <c r="F65" i="38"/>
  <c r="F66" i="38" s="1"/>
  <c r="M63" i="38"/>
  <c r="F63" i="38"/>
  <c r="F64" i="38" s="1"/>
  <c r="F56" i="38"/>
  <c r="F57" i="38" s="1"/>
  <c r="F58" i="38" s="1"/>
  <c r="F59" i="38" s="1"/>
  <c r="F60" i="38" s="1"/>
  <c r="F61" i="38" s="1"/>
  <c r="F62" i="38" s="1"/>
  <c r="F55" i="38"/>
  <c r="F54" i="38"/>
  <c r="M53" i="38"/>
  <c r="F53" i="38"/>
  <c r="F47" i="38"/>
  <c r="F48" i="38" s="1"/>
  <c r="F49" i="38" s="1"/>
  <c r="F50" i="38" s="1"/>
  <c r="F51" i="38" s="1"/>
  <c r="F52" i="38" s="1"/>
  <c r="F46" i="38"/>
  <c r="F45" i="38"/>
  <c r="M44" i="38"/>
  <c r="F44" i="38"/>
  <c r="L43" i="38"/>
  <c r="L105" i="38" s="1"/>
  <c r="L107" i="38" s="1"/>
  <c r="K43" i="38"/>
  <c r="K105" i="38" s="1"/>
  <c r="K107" i="38" s="1"/>
  <c r="J43" i="38"/>
  <c r="J105" i="38" s="1"/>
  <c r="J107" i="38" s="1"/>
  <c r="I43" i="38"/>
  <c r="I105" i="38" s="1"/>
  <c r="I107" i="38" s="1"/>
  <c r="H43" i="38"/>
  <c r="H105" i="38" s="1"/>
  <c r="H107" i="38" s="1"/>
  <c r="G43" i="38"/>
  <c r="F42" i="38"/>
  <c r="M41" i="38"/>
  <c r="F41" i="38"/>
  <c r="M37" i="38"/>
  <c r="F36" i="38"/>
  <c r="F35" i="38"/>
  <c r="F34" i="38"/>
  <c r="F33" i="38"/>
  <c r="F32" i="38"/>
  <c r="M31" i="38"/>
  <c r="F31" i="38"/>
  <c r="F30" i="38"/>
  <c r="F29" i="38"/>
  <c r="F28" i="38"/>
  <c r="M27" i="38"/>
  <c r="F27" i="38"/>
  <c r="F26" i="38"/>
  <c r="M25" i="38"/>
  <c r="F25" i="38"/>
  <c r="F24" i="38"/>
  <c r="M23" i="38"/>
  <c r="F23" i="38"/>
  <c r="F22" i="38"/>
  <c r="F21" i="38"/>
  <c r="F20" i="38"/>
  <c r="F19" i="38"/>
  <c r="F18" i="38"/>
  <c r="M17" i="38"/>
  <c r="F17" i="38"/>
  <c r="F16" i="38"/>
  <c r="F15" i="38"/>
  <c r="F14" i="38"/>
  <c r="F13" i="38"/>
  <c r="F12" i="38"/>
  <c r="M11" i="38"/>
  <c r="F11" i="38"/>
  <c r="F10" i="38"/>
  <c r="F9" i="38"/>
  <c r="F8" i="38"/>
  <c r="F7" i="38"/>
  <c r="F6" i="38"/>
  <c r="M5" i="38"/>
  <c r="N5" i="38" s="1"/>
  <c r="F5" i="38"/>
  <c r="H43" i="35"/>
  <c r="I43" i="35"/>
  <c r="J43" i="35"/>
  <c r="K43" i="35"/>
  <c r="L43" i="35"/>
  <c r="G43" i="35"/>
  <c r="G110" i="35" s="1"/>
  <c r="G112" i="35" s="1"/>
  <c r="H41" i="37"/>
  <c r="I41" i="37"/>
  <c r="J41" i="37"/>
  <c r="K41" i="37"/>
  <c r="L41" i="37"/>
  <c r="H105" i="37"/>
  <c r="I105" i="37"/>
  <c r="J105" i="37"/>
  <c r="K105" i="37"/>
  <c r="L105" i="37"/>
  <c r="F92" i="35" l="1"/>
  <c r="F93" i="35" s="1"/>
  <c r="F94" i="35" s="1"/>
  <c r="F95" i="35" s="1"/>
  <c r="F96" i="35" s="1"/>
  <c r="F97" i="35" s="1"/>
  <c r="F98" i="35" s="1"/>
  <c r="F99" i="35" s="1"/>
  <c r="I110" i="35"/>
  <c r="I112" i="35" s="1"/>
  <c r="J110" i="35"/>
  <c r="J112" i="35" s="1"/>
  <c r="K110" i="35"/>
  <c r="K112" i="35" s="1"/>
  <c r="L110" i="35"/>
  <c r="L112" i="35" s="1"/>
  <c r="H110" i="35"/>
  <c r="H112" i="35" s="1"/>
  <c r="G105" i="38"/>
  <c r="M43" i="38"/>
  <c r="O104" i="37"/>
  <c r="E104" i="37"/>
  <c r="C104" i="37"/>
  <c r="O103" i="37"/>
  <c r="E103" i="37"/>
  <c r="C103" i="37"/>
  <c r="O102" i="37"/>
  <c r="E102" i="37"/>
  <c r="C102" i="37"/>
  <c r="O101" i="37"/>
  <c r="M101" i="37"/>
  <c r="E101" i="37"/>
  <c r="C101" i="37"/>
  <c r="M99" i="37"/>
  <c r="E98" i="37"/>
  <c r="C98" i="37"/>
  <c r="O97" i="37"/>
  <c r="E97" i="37"/>
  <c r="C97" i="37"/>
  <c r="O96" i="37"/>
  <c r="E96" i="37"/>
  <c r="C96" i="37"/>
  <c r="O95" i="37"/>
  <c r="E95" i="37"/>
  <c r="C95" i="37"/>
  <c r="O94" i="37"/>
  <c r="E94" i="37"/>
  <c r="C94" i="37"/>
  <c r="O93" i="37"/>
  <c r="E93" i="37"/>
  <c r="C93" i="37"/>
  <c r="O92" i="37"/>
  <c r="E92" i="37"/>
  <c r="C92" i="37"/>
  <c r="O91" i="37"/>
  <c r="E91" i="37"/>
  <c r="C91" i="37"/>
  <c r="O90" i="37"/>
  <c r="E90" i="37"/>
  <c r="C90" i="37"/>
  <c r="O89" i="37"/>
  <c r="E89" i="37"/>
  <c r="C89" i="37"/>
  <c r="O88" i="37"/>
  <c r="E88" i="37"/>
  <c r="C88" i="37"/>
  <c r="O87" i="37"/>
  <c r="E87" i="37"/>
  <c r="C87" i="37"/>
  <c r="O86" i="37"/>
  <c r="E86" i="37"/>
  <c r="C86" i="37"/>
  <c r="O85" i="37"/>
  <c r="E85" i="37"/>
  <c r="C85" i="37"/>
  <c r="O84" i="37"/>
  <c r="E84" i="37"/>
  <c r="C84" i="37"/>
  <c r="O83" i="37"/>
  <c r="M83" i="37"/>
  <c r="E83" i="37"/>
  <c r="C83" i="37"/>
  <c r="O82" i="37"/>
  <c r="E82" i="37"/>
  <c r="C82" i="37"/>
  <c r="O81" i="37"/>
  <c r="E81" i="37"/>
  <c r="C81" i="37"/>
  <c r="O80" i="37"/>
  <c r="E80" i="37"/>
  <c r="C80" i="37"/>
  <c r="O79" i="37"/>
  <c r="E79" i="37"/>
  <c r="C79" i="37"/>
  <c r="O78" i="37"/>
  <c r="E78" i="37"/>
  <c r="C78" i="37"/>
  <c r="O77" i="37"/>
  <c r="E77" i="37"/>
  <c r="C77" i="37"/>
  <c r="O76" i="37"/>
  <c r="E76" i="37"/>
  <c r="C76" i="37"/>
  <c r="O75" i="37"/>
  <c r="E75" i="37"/>
  <c r="C75" i="37"/>
  <c r="O74" i="37"/>
  <c r="E74" i="37"/>
  <c r="C74" i="37"/>
  <c r="O73" i="37"/>
  <c r="E73" i="37"/>
  <c r="C73" i="37"/>
  <c r="O72" i="37"/>
  <c r="E72" i="37"/>
  <c r="C72" i="37"/>
  <c r="O71" i="37"/>
  <c r="E71" i="37"/>
  <c r="C71" i="37"/>
  <c r="O70" i="37"/>
  <c r="E70" i="37"/>
  <c r="C70" i="37"/>
  <c r="O69" i="37"/>
  <c r="E69" i="37"/>
  <c r="C69" i="37"/>
  <c r="O68" i="37"/>
  <c r="E68" i="37"/>
  <c r="C68" i="37"/>
  <c r="O67" i="37"/>
  <c r="E67" i="37"/>
  <c r="C67" i="37"/>
  <c r="O66" i="37"/>
  <c r="M66" i="37"/>
  <c r="E66" i="37"/>
  <c r="C66" i="37"/>
  <c r="O65" i="37"/>
  <c r="E65" i="37"/>
  <c r="C65" i="37"/>
  <c r="O64" i="37"/>
  <c r="M64" i="37"/>
  <c r="E64" i="37"/>
  <c r="C64" i="37"/>
  <c r="O63" i="37"/>
  <c r="E63" i="37"/>
  <c r="C63" i="37"/>
  <c r="O62" i="37"/>
  <c r="M62" i="37"/>
  <c r="E62" i="37"/>
  <c r="C62" i="37"/>
  <c r="O61" i="37"/>
  <c r="E61" i="37"/>
  <c r="C61" i="37"/>
  <c r="O60" i="37"/>
  <c r="E60" i="37"/>
  <c r="C60" i="37"/>
  <c r="O59" i="37"/>
  <c r="E59" i="37"/>
  <c r="C59" i="37"/>
  <c r="O58" i="37"/>
  <c r="E58" i="37"/>
  <c r="C58" i="37"/>
  <c r="O57" i="37"/>
  <c r="E57" i="37"/>
  <c r="C57" i="37"/>
  <c r="O56" i="37"/>
  <c r="E56" i="37"/>
  <c r="C56" i="37"/>
  <c r="O55" i="37"/>
  <c r="E55" i="37"/>
  <c r="C55" i="37"/>
  <c r="O54" i="37"/>
  <c r="E54" i="37"/>
  <c r="C54" i="37"/>
  <c r="O53" i="37"/>
  <c r="E53" i="37"/>
  <c r="C53" i="37"/>
  <c r="O52" i="37"/>
  <c r="M52" i="37"/>
  <c r="E52" i="37"/>
  <c r="C52" i="37"/>
  <c r="O51" i="37"/>
  <c r="E51" i="37"/>
  <c r="C51" i="37"/>
  <c r="O50" i="37"/>
  <c r="E50" i="37"/>
  <c r="C50" i="37"/>
  <c r="O49" i="37"/>
  <c r="E49" i="37"/>
  <c r="C49" i="37"/>
  <c r="O48" i="37"/>
  <c r="E48" i="37"/>
  <c r="C48" i="37"/>
  <c r="O47" i="37"/>
  <c r="E47" i="37"/>
  <c r="C47" i="37"/>
  <c r="O46" i="37"/>
  <c r="E46" i="37"/>
  <c r="C46" i="37"/>
  <c r="O45" i="37"/>
  <c r="E45" i="37"/>
  <c r="C45" i="37"/>
  <c r="O44" i="37"/>
  <c r="E44" i="37"/>
  <c r="C44" i="37"/>
  <c r="O43" i="37"/>
  <c r="E43" i="37"/>
  <c r="C43" i="37"/>
  <c r="O42" i="37"/>
  <c r="M42" i="37"/>
  <c r="E42" i="37"/>
  <c r="C42" i="37"/>
  <c r="G41" i="37"/>
  <c r="M41" i="37" s="1"/>
  <c r="O40" i="37"/>
  <c r="F40" i="37"/>
  <c r="E40" i="37"/>
  <c r="C40" i="37"/>
  <c r="O39" i="37"/>
  <c r="M39" i="37"/>
  <c r="E39" i="37"/>
  <c r="C39" i="37"/>
  <c r="M37" i="37"/>
  <c r="O36" i="37"/>
  <c r="F36" i="37"/>
  <c r="E36" i="37"/>
  <c r="C36" i="37"/>
  <c r="O35" i="37"/>
  <c r="F35" i="37"/>
  <c r="E35" i="37"/>
  <c r="C35" i="37"/>
  <c r="O34" i="37"/>
  <c r="F34" i="37"/>
  <c r="E34" i="37"/>
  <c r="C34" i="37"/>
  <c r="O33" i="37"/>
  <c r="F33" i="37"/>
  <c r="E33" i="37"/>
  <c r="C33" i="37"/>
  <c r="O32" i="37"/>
  <c r="F32" i="37"/>
  <c r="E32" i="37"/>
  <c r="C32" i="37"/>
  <c r="O31" i="37"/>
  <c r="M31" i="37"/>
  <c r="F31" i="37"/>
  <c r="E31" i="37"/>
  <c r="C31" i="37"/>
  <c r="O30" i="37"/>
  <c r="F30" i="37"/>
  <c r="E30" i="37"/>
  <c r="C30" i="37"/>
  <c r="O29" i="37"/>
  <c r="F29" i="37"/>
  <c r="E29" i="37"/>
  <c r="C29" i="37"/>
  <c r="O28" i="37"/>
  <c r="F28" i="37"/>
  <c r="E28" i="37"/>
  <c r="C28" i="37"/>
  <c r="O27" i="37"/>
  <c r="M27" i="37"/>
  <c r="F27" i="37"/>
  <c r="E27" i="37"/>
  <c r="C27" i="37"/>
  <c r="O26" i="37"/>
  <c r="F26" i="37"/>
  <c r="E26" i="37"/>
  <c r="C26" i="37"/>
  <c r="O25" i="37"/>
  <c r="M25" i="37"/>
  <c r="F25" i="37"/>
  <c r="E25" i="37"/>
  <c r="C25" i="37"/>
  <c r="O24" i="37"/>
  <c r="F24" i="37"/>
  <c r="E24" i="37"/>
  <c r="C24" i="37"/>
  <c r="O23" i="37"/>
  <c r="M23" i="37"/>
  <c r="F23" i="37"/>
  <c r="E23" i="37"/>
  <c r="C23" i="37"/>
  <c r="O22" i="37"/>
  <c r="F22" i="37"/>
  <c r="E22" i="37"/>
  <c r="C22" i="37"/>
  <c r="O21" i="37"/>
  <c r="F21" i="37"/>
  <c r="E21" i="37"/>
  <c r="C21" i="37"/>
  <c r="O20" i="37"/>
  <c r="F20" i="37"/>
  <c r="E20" i="37"/>
  <c r="C20" i="37"/>
  <c r="O19" i="37"/>
  <c r="F19" i="37"/>
  <c r="E19" i="37"/>
  <c r="C19" i="37"/>
  <c r="O18" i="37"/>
  <c r="F18" i="37"/>
  <c r="E18" i="37"/>
  <c r="C18" i="37"/>
  <c r="O17" i="37"/>
  <c r="M17" i="37"/>
  <c r="F17" i="37"/>
  <c r="E17" i="37"/>
  <c r="C17" i="37"/>
  <c r="O16" i="37"/>
  <c r="F16" i="37"/>
  <c r="E16" i="37"/>
  <c r="C16" i="37"/>
  <c r="O15" i="37"/>
  <c r="F15" i="37"/>
  <c r="E15" i="37"/>
  <c r="C15" i="37"/>
  <c r="O14" i="37"/>
  <c r="F14" i="37"/>
  <c r="E14" i="37"/>
  <c r="C14" i="37"/>
  <c r="O13" i="37"/>
  <c r="F13" i="37"/>
  <c r="E13" i="37"/>
  <c r="C13" i="37"/>
  <c r="O12" i="37"/>
  <c r="F12" i="37"/>
  <c r="E12" i="37"/>
  <c r="C12" i="37"/>
  <c r="O11" i="37"/>
  <c r="M11" i="37"/>
  <c r="F11" i="37"/>
  <c r="E11" i="37"/>
  <c r="C11" i="37"/>
  <c r="O10" i="37"/>
  <c r="F10" i="37"/>
  <c r="E10" i="37"/>
  <c r="C10" i="37"/>
  <c r="O9" i="37"/>
  <c r="F9" i="37"/>
  <c r="E9" i="37"/>
  <c r="C9" i="37"/>
  <c r="O8" i="37"/>
  <c r="F8" i="37"/>
  <c r="E8" i="37"/>
  <c r="C8" i="37"/>
  <c r="O7" i="37"/>
  <c r="F7" i="37"/>
  <c r="E7" i="37"/>
  <c r="C7" i="37"/>
  <c r="O6" i="37"/>
  <c r="F6" i="37"/>
  <c r="E6" i="37"/>
  <c r="C6" i="37"/>
  <c r="O5" i="37"/>
  <c r="M5" i="37"/>
  <c r="F5" i="37"/>
  <c r="E5" i="37"/>
  <c r="C5" i="37"/>
  <c r="G107" i="38" l="1"/>
  <c r="M107" i="38" s="1"/>
  <c r="M105" i="38"/>
  <c r="N5" i="37"/>
  <c r="F65" i="35"/>
  <c r="F66" i="35" s="1"/>
  <c r="F63" i="35"/>
  <c r="F64" i="35" s="1"/>
  <c r="F56" i="35"/>
  <c r="F57" i="35" s="1"/>
  <c r="F58" i="35" s="1"/>
  <c r="F59" i="35" s="1"/>
  <c r="F60" i="35" s="1"/>
  <c r="F61" i="35" s="1"/>
  <c r="F62" i="35" s="1"/>
  <c r="F55" i="35"/>
  <c r="F54" i="35"/>
  <c r="F53" i="35"/>
  <c r="F47" i="35"/>
  <c r="F48" i="35" s="1"/>
  <c r="F49" i="35" s="1"/>
  <c r="F50" i="35" s="1"/>
  <c r="F51" i="35" s="1"/>
  <c r="F52" i="35" s="1"/>
  <c r="F46" i="35"/>
  <c r="F45" i="35"/>
  <c r="F44" i="35"/>
  <c r="F34" i="35"/>
  <c r="F33" i="35"/>
  <c r="F19" i="35"/>
  <c r="F13" i="35"/>
  <c r="F7" i="35"/>
  <c r="F42" i="35"/>
  <c r="F41" i="35"/>
  <c r="F32" i="35"/>
  <c r="F31" i="35"/>
  <c r="F30" i="35"/>
  <c r="F29" i="35"/>
  <c r="F28" i="35"/>
  <c r="F27" i="35"/>
  <c r="F26" i="35"/>
  <c r="F25" i="35"/>
  <c r="F24" i="35"/>
  <c r="F23" i="35"/>
  <c r="F18" i="35"/>
  <c r="F17" i="35"/>
  <c r="F12" i="35"/>
  <c r="F11" i="35"/>
  <c r="F6" i="35"/>
  <c r="F5" i="35"/>
  <c r="J104" i="23" l="1"/>
  <c r="K104" i="23"/>
  <c r="L104" i="23"/>
  <c r="I104" i="23"/>
  <c r="M5" i="23"/>
  <c r="M11" i="23"/>
  <c r="M100" i="23" l="1"/>
  <c r="M65" i="23"/>
  <c r="M106" i="23"/>
  <c r="H104" i="23"/>
  <c r="G104" i="23"/>
  <c r="F87" i="23"/>
  <c r="F88" i="23" s="1"/>
  <c r="F89" i="23" s="1"/>
  <c r="F90" i="23" s="1"/>
  <c r="F91" i="23" s="1"/>
  <c r="F92" i="23" s="1"/>
  <c r="F93" i="23" s="1"/>
  <c r="F94" i="23" s="1"/>
  <c r="F95" i="23" s="1"/>
  <c r="F96" i="23" s="1"/>
  <c r="F97" i="23" s="1"/>
  <c r="F98" i="23" s="1"/>
  <c r="F99" i="23" s="1"/>
  <c r="F86" i="23"/>
  <c r="F85" i="23"/>
  <c r="F84" i="23"/>
  <c r="F70" i="23"/>
  <c r="F71" i="23" s="1"/>
  <c r="F72" i="23" s="1"/>
  <c r="F73" i="23" s="1"/>
  <c r="F74" i="23" s="1"/>
  <c r="F75" i="23" s="1"/>
  <c r="F76" i="23" s="1"/>
  <c r="F77" i="23" s="1"/>
  <c r="F78" i="23" s="1"/>
  <c r="F79" i="23" s="1"/>
  <c r="F80" i="23" s="1"/>
  <c r="F81" i="23" s="1"/>
  <c r="F82" i="23" s="1"/>
  <c r="F83" i="23" s="1"/>
  <c r="F69" i="23"/>
  <c r="F68" i="23"/>
  <c r="M67" i="23"/>
  <c r="F67" i="23"/>
  <c r="F65" i="23"/>
  <c r="F66" i="23" s="1"/>
  <c r="M63" i="23"/>
  <c r="F56" i="23"/>
  <c r="F57" i="23" s="1"/>
  <c r="F58" i="23" s="1"/>
  <c r="F59" i="23" s="1"/>
  <c r="F60" i="23" s="1"/>
  <c r="F61" i="23" s="1"/>
  <c r="F62" i="23" s="1"/>
  <c r="F63" i="23" s="1"/>
  <c r="F64" i="23" s="1"/>
  <c r="F55" i="23"/>
  <c r="F54" i="23"/>
  <c r="M53" i="23"/>
  <c r="F53" i="23"/>
  <c r="F47" i="23"/>
  <c r="F48" i="23" s="1"/>
  <c r="F49" i="23" s="1"/>
  <c r="F50" i="23" s="1"/>
  <c r="F51" i="23" s="1"/>
  <c r="F52" i="23" s="1"/>
  <c r="F46" i="23"/>
  <c r="F45" i="23"/>
  <c r="M44" i="23"/>
  <c r="F44" i="23"/>
  <c r="L43" i="23"/>
  <c r="K43" i="23"/>
  <c r="J43" i="23"/>
  <c r="I43" i="23"/>
  <c r="H43" i="23"/>
  <c r="G43" i="23"/>
  <c r="F42" i="23"/>
  <c r="M41" i="23"/>
  <c r="F41" i="23"/>
  <c r="M37" i="23"/>
  <c r="F36" i="23"/>
  <c r="F35" i="23"/>
  <c r="F34" i="23"/>
  <c r="F33" i="23"/>
  <c r="F32" i="23"/>
  <c r="M31" i="23"/>
  <c r="F31" i="23"/>
  <c r="F30" i="23"/>
  <c r="F29" i="23"/>
  <c r="F28" i="23"/>
  <c r="M27" i="23"/>
  <c r="F27" i="23"/>
  <c r="F26" i="23"/>
  <c r="M25" i="23"/>
  <c r="F25" i="23"/>
  <c r="F24" i="23"/>
  <c r="M23" i="23"/>
  <c r="F23" i="23"/>
  <c r="F22" i="23"/>
  <c r="F21" i="23"/>
  <c r="F20" i="23"/>
  <c r="F19" i="23"/>
  <c r="F18" i="23"/>
  <c r="M17" i="23"/>
  <c r="N5" i="23" s="1"/>
  <c r="F17" i="23"/>
  <c r="F16" i="23"/>
  <c r="F15" i="23"/>
  <c r="F14" i="23"/>
  <c r="F13" i="23"/>
  <c r="F12" i="23"/>
  <c r="F11" i="23"/>
  <c r="F10" i="23"/>
  <c r="F9" i="23"/>
  <c r="F8" i="23"/>
  <c r="F7" i="23"/>
  <c r="F6" i="23"/>
  <c r="F5" i="23"/>
  <c r="M107" i="37"/>
  <c r="G105" i="37"/>
  <c r="M105" i="37" s="1"/>
  <c r="L106" i="37"/>
  <c r="L108" i="37" s="1"/>
  <c r="I106" i="37"/>
  <c r="H106" i="37"/>
  <c r="H108" i="37" s="1"/>
  <c r="G106" i="37"/>
  <c r="M43" i="23" l="1"/>
  <c r="H105" i="23"/>
  <c r="H107" i="23" s="1"/>
  <c r="I105" i="23"/>
  <c r="I107" i="23" s="1"/>
  <c r="G105" i="23"/>
  <c r="G107" i="23" s="1"/>
  <c r="J105" i="23"/>
  <c r="J107" i="23" s="1"/>
  <c r="L105" i="23"/>
  <c r="L107" i="23" s="1"/>
  <c r="M104" i="23"/>
  <c r="K105" i="23"/>
  <c r="K107" i="23" s="1"/>
  <c r="J106" i="37"/>
  <c r="J108" i="37" s="1"/>
  <c r="K106" i="37"/>
  <c r="K108" i="37" s="1"/>
  <c r="G108" i="37"/>
  <c r="M107" i="23" l="1"/>
  <c r="M105" i="23"/>
  <c r="M106" i="37"/>
  <c r="M108" i="37"/>
  <c r="B1" i="30" l="1"/>
  <c r="F3" i="2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4" authorId="0" shapeId="0" xr:uid="{54A7D77B-4AC5-4F3A-B549-6B4868933005}">
      <text>
        <r>
          <rPr>
            <sz val="11"/>
            <color theme="1"/>
            <rFont val="Calibri"/>
            <family val="2"/>
            <scheme val="minor"/>
          </rPr>
          <t>user:
선택 교과(군)에서 그룹으로 묶어진 과목들이 있다면 그룹으로 표시하고 교과(군) 입력: 국어, 수학, 영어, 사회, 과학, 체육, 예술, 기술·가정, 정보, 제2외국어, 한문, 교양  중 택1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3" authorId="0" shapeId="0" xr:uid="{80F92F35-DE4C-4FBF-9469-72696FD6159E}">
      <text>
        <r>
          <rPr>
            <b/>
            <sz val="9"/>
            <color indexed="81"/>
            <rFont val="Tahoma"/>
            <family val="2"/>
          </rPr>
          <t xml:space="preserve">user: </t>
        </r>
        <r>
          <rPr>
            <b/>
            <sz val="9"/>
            <color indexed="81"/>
            <rFont val="돋움"/>
            <family val="3"/>
            <charset val="129"/>
          </rPr>
          <t>과목명부터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먼저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바랍니다</t>
        </r>
        <r>
          <rPr>
            <b/>
            <sz val="9"/>
            <color indexed="81"/>
            <rFont val="Tahoma"/>
            <family val="2"/>
          </rPr>
          <t>.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※과목명을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입력하면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과목유형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기본학점</t>
        </r>
        <r>
          <rPr>
            <sz val="9"/>
            <color indexed="81"/>
            <rFont val="Tahoma"/>
            <family val="2"/>
          </rPr>
          <t>,</t>
        </r>
        <r>
          <rPr>
            <sz val="9"/>
            <color indexed="81"/>
            <rFont val="돋움"/>
            <family val="3"/>
            <charset val="129"/>
          </rPr>
          <t>성적처리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유형이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자동으로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입력됨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3" authorId="0" shapeId="0" xr:uid="{427F18ED-4906-4983-A6A9-262C571013E0}">
      <text>
        <r>
          <rPr>
            <b/>
            <sz val="9"/>
            <color indexed="81"/>
            <rFont val="Tahoma"/>
            <family val="2"/>
          </rPr>
          <t xml:space="preserve">user: </t>
        </r>
        <r>
          <rPr>
            <b/>
            <sz val="9"/>
            <color indexed="81"/>
            <rFont val="돋움"/>
            <family val="3"/>
            <charset val="129"/>
          </rPr>
          <t>과목명부터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먼저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바랍니다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돋움"/>
            <family val="3"/>
            <charset val="129"/>
          </rPr>
          <t>※과목명을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과목유형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기본학점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성적처리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유형이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입력됨
</t>
        </r>
        <r>
          <rPr>
            <b/>
            <sz val="9"/>
            <color indexed="81"/>
            <rFont val="Tahoma"/>
            <family val="2"/>
          </rPr>
          <t xml:space="preserve">  </t>
        </r>
        <r>
          <rPr>
            <b/>
            <sz val="9"/>
            <color indexed="81"/>
            <rFont val="돋움"/>
            <family val="3"/>
            <charset val="129"/>
          </rPr>
          <t>과목명이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정확하지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않으면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셀의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배경색이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빨간색으로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변경됩니다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돋움"/>
            <family val="3"/>
            <charset val="129"/>
          </rPr>
          <t>만약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경우라면</t>
        </r>
        <r>
          <rPr>
            <b/>
            <sz val="9"/>
            <color indexed="81"/>
            <rFont val="Tahoma"/>
            <family val="2"/>
          </rPr>
          <t xml:space="preserve"> S</t>
        </r>
        <r>
          <rPr>
            <b/>
            <sz val="9"/>
            <color indexed="81"/>
            <rFont val="돋움"/>
            <family val="3"/>
            <charset val="129"/>
          </rPr>
          <t>열의</t>
        </r>
        <r>
          <rPr>
            <b/>
            <sz val="9"/>
            <color indexed="81"/>
            <rFont val="Tahoma"/>
            <family val="2"/>
          </rPr>
          <t xml:space="preserve"> 0</t>
        </r>
        <r>
          <rPr>
            <b/>
            <sz val="9"/>
            <color indexed="81"/>
            <rFont val="돋움"/>
            <family val="3"/>
            <charset val="129"/>
          </rPr>
          <t>을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바꿔주세요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B44" authorId="0" shapeId="0" xr:uid="{EB902EFD-189E-4EBC-A001-898759D85F6C}">
      <text>
        <r>
          <rPr>
            <sz val="11"/>
            <color theme="1"/>
            <rFont val="Calibri"/>
            <family val="2"/>
            <scheme val="minor"/>
          </rPr>
          <t>user:
선택 교과(군)에서 그룹으로 묶어진 과목들이 있다면 그룹으로 표시하고 교과(군) 입력: 국어, 수학, 영어, 사회, 과학, 체육, 예술, 기술·가정, 정보, 제2외국어, 한문, 교양  중 택1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3" authorId="0" shapeId="0" xr:uid="{5D591040-89F0-4242-BCE8-7CB1401072AF}">
      <text>
        <r>
          <rPr>
            <b/>
            <sz val="9"/>
            <color indexed="81"/>
            <rFont val="Tahoma"/>
            <family val="2"/>
          </rPr>
          <t xml:space="preserve">user: </t>
        </r>
        <r>
          <rPr>
            <b/>
            <sz val="9"/>
            <color indexed="81"/>
            <rFont val="돋움"/>
            <family val="3"/>
            <charset val="129"/>
          </rPr>
          <t>과목명부터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먼저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바랍니다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돋움"/>
            <family val="3"/>
            <charset val="129"/>
          </rPr>
          <t>※과목명을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과목유형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기본학점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성적처리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유형이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입력됨
</t>
        </r>
        <r>
          <rPr>
            <b/>
            <sz val="9"/>
            <color indexed="81"/>
            <rFont val="Tahoma"/>
            <family val="2"/>
          </rPr>
          <t xml:space="preserve">  </t>
        </r>
        <r>
          <rPr>
            <b/>
            <sz val="9"/>
            <color indexed="81"/>
            <rFont val="돋움"/>
            <family val="3"/>
            <charset val="129"/>
          </rPr>
          <t>과목명이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정확하지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않으면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셀의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배경색이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빨간색으로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변경됩니다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돋움"/>
            <family val="3"/>
            <charset val="129"/>
          </rPr>
          <t>만약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이상이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경우라면</t>
        </r>
        <r>
          <rPr>
            <b/>
            <sz val="9"/>
            <color indexed="81"/>
            <rFont val="Tahoma"/>
            <family val="2"/>
          </rPr>
          <t xml:space="preserve"> S</t>
        </r>
        <r>
          <rPr>
            <b/>
            <sz val="9"/>
            <color indexed="81"/>
            <rFont val="돋움"/>
            <family val="3"/>
            <charset val="129"/>
          </rPr>
          <t>열의</t>
        </r>
        <r>
          <rPr>
            <b/>
            <sz val="9"/>
            <color indexed="81"/>
            <rFont val="Tahoma"/>
            <family val="2"/>
          </rPr>
          <t xml:space="preserve"> 0</t>
        </r>
        <r>
          <rPr>
            <b/>
            <sz val="9"/>
            <color indexed="81"/>
            <rFont val="돋움"/>
            <family val="3"/>
            <charset val="129"/>
          </rPr>
          <t>을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바꿔주세요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B44" authorId="0" shapeId="0" xr:uid="{06E79893-81DC-4CE4-9E97-A5C963AF2327}">
      <text>
        <r>
          <rPr>
            <sz val="11"/>
            <color theme="1"/>
            <rFont val="Calibri"/>
            <family val="2"/>
            <scheme val="minor"/>
          </rPr>
          <t>user:
선택 교과(군)에서 그룹으로 묶어진 과목들이 있다면 그룹으로 표시하고 교과(군) 입력: 국어, 수학, 영어, 사회, 과학, 체육, 예술, 기술·가정, 정보, 제2외국어, 한문, 교양  중 택1</t>
        </r>
      </text>
    </comment>
  </commentList>
</comments>
</file>

<file path=xl/sharedStrings.xml><?xml version="1.0" encoding="utf-8"?>
<sst xmlns="http://schemas.openxmlformats.org/spreadsheetml/2006/main" count="5101" uniqueCount="621">
  <si>
    <t>교과(군)</t>
  </si>
  <si>
    <t>과목
유형</t>
  </si>
  <si>
    <t>과목</t>
  </si>
  <si>
    <t>기본
학점</t>
  </si>
  <si>
    <t>운영
학점</t>
  </si>
  <si>
    <t>1학년</t>
  </si>
  <si>
    <t>2학년</t>
  </si>
  <si>
    <t>3학년</t>
  </si>
  <si>
    <t>편성학점 합</t>
  </si>
  <si>
    <t>성적처리 유형</t>
  </si>
  <si>
    <t>1학기</t>
  </si>
  <si>
    <t>2학기</t>
  </si>
  <si>
    <t>선택군</t>
  </si>
  <si>
    <t>학
교
지
정
과
목</t>
  </si>
  <si>
    <t>국어</t>
  </si>
  <si>
    <t>공통</t>
  </si>
  <si>
    <t>공통국어1</t>
  </si>
  <si>
    <t>성취도 5단계+석차등급O</t>
  </si>
  <si>
    <t>공통국어2</t>
  </si>
  <si>
    <t>일반</t>
  </si>
  <si>
    <t>수학</t>
  </si>
  <si>
    <t>공통수학1</t>
  </si>
  <si>
    <t>공통수학2</t>
  </si>
  <si>
    <t>영어</t>
  </si>
  <si>
    <t>공통영어1</t>
  </si>
  <si>
    <t>공통영어2</t>
  </si>
  <si>
    <t>한국사1</t>
  </si>
  <si>
    <t>한국사2</t>
  </si>
  <si>
    <t>통합사회1</t>
  </si>
  <si>
    <t>통합사회2</t>
  </si>
  <si>
    <t>통합과학1</t>
  </si>
  <si>
    <t>통합과학2</t>
  </si>
  <si>
    <t>과학탐구실험1</t>
  </si>
  <si>
    <t>성취도 3단계</t>
  </si>
  <si>
    <t>과학탐구실험2</t>
  </si>
  <si>
    <t>체육1</t>
  </si>
  <si>
    <t>체육2</t>
  </si>
  <si>
    <t>진로</t>
  </si>
  <si>
    <t>융합</t>
  </si>
  <si>
    <t>기술·가정</t>
  </si>
  <si>
    <t>정보</t>
  </si>
  <si>
    <t>선택군A</t>
  </si>
  <si>
    <t>선택군B</t>
  </si>
  <si>
    <t>선택군C</t>
  </si>
  <si>
    <t>선택군D</t>
  </si>
  <si>
    <t>선택군E</t>
  </si>
  <si>
    <t>성취도 5단계+석차등급X</t>
  </si>
  <si>
    <t>선택군F</t>
  </si>
  <si>
    <t>선택군G</t>
  </si>
  <si>
    <t>이수/미이수</t>
  </si>
  <si>
    <t>연번</t>
    <phoneticPr fontId="18" type="noConversion"/>
  </si>
  <si>
    <t>계열</t>
    <phoneticPr fontId="18" type="noConversion"/>
  </si>
  <si>
    <t>교과(군)</t>
    <phoneticPr fontId="18" type="noConversion"/>
  </si>
  <si>
    <t>구분</t>
    <phoneticPr fontId="18" type="noConversion"/>
  </si>
  <si>
    <t>과목명</t>
    <phoneticPr fontId="18" type="noConversion"/>
  </si>
  <si>
    <t>기본 학점</t>
    <phoneticPr fontId="18" type="noConversion"/>
  </si>
  <si>
    <t>학점 범위</t>
    <phoneticPr fontId="18" type="noConversion"/>
  </si>
  <si>
    <t>성적 처리 유형</t>
    <phoneticPr fontId="18" type="noConversion"/>
  </si>
  <si>
    <t>2028 수능 과목 여부</t>
    <phoneticPr fontId="18" type="noConversion"/>
  </si>
  <si>
    <t>비고</t>
    <phoneticPr fontId="18" type="noConversion"/>
  </si>
  <si>
    <t>국어</t>
    <phoneticPr fontId="18" type="noConversion"/>
  </si>
  <si>
    <t>공통 과목</t>
    <phoneticPr fontId="18" type="noConversion"/>
  </si>
  <si>
    <t>공통국어1</t>
    <phoneticPr fontId="18" type="noConversion"/>
  </si>
  <si>
    <t>4학점</t>
    <phoneticPr fontId="18" type="noConversion"/>
  </si>
  <si>
    <t>3~4</t>
    <phoneticPr fontId="18" type="noConversion"/>
  </si>
  <si>
    <t>성취도 5단계+석차 5등급</t>
    <phoneticPr fontId="18" type="noConversion"/>
  </si>
  <si>
    <t>공통국어2</t>
    <phoneticPr fontId="18" type="noConversion"/>
  </si>
  <si>
    <t>일반 선택 과목</t>
    <phoneticPr fontId="18" type="noConversion"/>
  </si>
  <si>
    <t>화법과 언어</t>
    <phoneticPr fontId="18" type="noConversion"/>
  </si>
  <si>
    <t>3~5</t>
    <phoneticPr fontId="18" type="noConversion"/>
  </si>
  <si>
    <t>국어영역 출제과목</t>
    <phoneticPr fontId="18" type="noConversion"/>
  </si>
  <si>
    <t>독서와 작문</t>
    <phoneticPr fontId="18" type="noConversion"/>
  </si>
  <si>
    <t>문학</t>
    <phoneticPr fontId="18" type="noConversion"/>
  </si>
  <si>
    <t>진로 선택 과목</t>
    <phoneticPr fontId="18" type="noConversion"/>
  </si>
  <si>
    <t>주제 탐구 독서</t>
    <phoneticPr fontId="18" type="noConversion"/>
  </si>
  <si>
    <t>문학과 영상</t>
    <phoneticPr fontId="18" type="noConversion"/>
  </si>
  <si>
    <t>직무 의사소통</t>
    <phoneticPr fontId="18" type="noConversion"/>
  </si>
  <si>
    <t>융합 선택 과목</t>
    <phoneticPr fontId="18" type="noConversion"/>
  </si>
  <si>
    <t>독서 토론과 글쓰기</t>
    <phoneticPr fontId="18" type="noConversion"/>
  </si>
  <si>
    <t>매체 의사소통</t>
    <phoneticPr fontId="18" type="noConversion"/>
  </si>
  <si>
    <t>언어생활 탐구</t>
    <phoneticPr fontId="18" type="noConversion"/>
  </si>
  <si>
    <t>수학</t>
    <phoneticPr fontId="18" type="noConversion"/>
  </si>
  <si>
    <t>공통수학1</t>
    <phoneticPr fontId="18" type="noConversion"/>
  </si>
  <si>
    <t>공통수학2</t>
    <phoneticPr fontId="18" type="noConversion"/>
  </si>
  <si>
    <t>기본수학1</t>
    <phoneticPr fontId="18" type="noConversion"/>
  </si>
  <si>
    <t>기본수학2</t>
  </si>
  <si>
    <t>대수</t>
    <phoneticPr fontId="18" type="noConversion"/>
  </si>
  <si>
    <t>수학영역 출제과목</t>
    <phoneticPr fontId="18" type="noConversion"/>
  </si>
  <si>
    <t>미적분Ⅰ</t>
    <phoneticPr fontId="18" type="noConversion"/>
  </si>
  <si>
    <t>과목 위계에 주의</t>
    <phoneticPr fontId="18" type="noConversion"/>
  </si>
  <si>
    <t>확률과 통계</t>
    <phoneticPr fontId="18" type="noConversion"/>
  </si>
  <si>
    <t>기하</t>
    <phoneticPr fontId="18" type="noConversion"/>
  </si>
  <si>
    <t>미적분Ⅱ</t>
    <phoneticPr fontId="18" type="noConversion"/>
  </si>
  <si>
    <t>경제 수학</t>
    <phoneticPr fontId="18" type="noConversion"/>
  </si>
  <si>
    <t>인공지능 수학</t>
    <phoneticPr fontId="18" type="noConversion"/>
  </si>
  <si>
    <t>직무 수학</t>
    <phoneticPr fontId="18" type="noConversion"/>
  </si>
  <si>
    <t>수학과 문화</t>
    <phoneticPr fontId="18" type="noConversion"/>
  </si>
  <si>
    <t>실용 통계</t>
    <phoneticPr fontId="18" type="noConversion"/>
  </si>
  <si>
    <t>수학과제 탐구</t>
    <phoneticPr fontId="18" type="noConversion"/>
  </si>
  <si>
    <t>영어</t>
    <phoneticPr fontId="18" type="noConversion"/>
  </si>
  <si>
    <t>공통영어1</t>
    <phoneticPr fontId="18" type="noConversion"/>
  </si>
  <si>
    <t>기본영어1</t>
    <phoneticPr fontId="18" type="noConversion"/>
  </si>
  <si>
    <t>기본영어2</t>
  </si>
  <si>
    <t>영어Ⅰ</t>
    <phoneticPr fontId="18" type="noConversion"/>
  </si>
  <si>
    <t>영어영역 출제과목</t>
    <phoneticPr fontId="18" type="noConversion"/>
  </si>
  <si>
    <t>영어Ⅱ</t>
    <phoneticPr fontId="18" type="noConversion"/>
  </si>
  <si>
    <t>영어 독해와 작문</t>
    <phoneticPr fontId="18" type="noConversion"/>
  </si>
  <si>
    <t>영미 문학 읽기</t>
    <phoneticPr fontId="18" type="noConversion"/>
  </si>
  <si>
    <t>영어 발표와 토론</t>
    <phoneticPr fontId="18" type="noConversion"/>
  </si>
  <si>
    <t>심화 영어</t>
    <phoneticPr fontId="18" type="noConversion"/>
  </si>
  <si>
    <t>심화 영어 독해와 작문</t>
    <phoneticPr fontId="18" type="noConversion"/>
  </si>
  <si>
    <t>직무 영어</t>
    <phoneticPr fontId="18" type="noConversion"/>
  </si>
  <si>
    <t>실생활 영어 회화</t>
    <phoneticPr fontId="18" type="noConversion"/>
  </si>
  <si>
    <t>미디어 영어</t>
    <phoneticPr fontId="18" type="noConversion"/>
  </si>
  <si>
    <t>세계 문화와 영어</t>
    <phoneticPr fontId="18" type="noConversion"/>
  </si>
  <si>
    <t>사회(역사/도덕 포함)</t>
    <phoneticPr fontId="18" type="noConversion"/>
  </si>
  <si>
    <t>한국사1</t>
    <phoneticPr fontId="18" type="noConversion"/>
  </si>
  <si>
    <t>3학점</t>
    <phoneticPr fontId="18" type="noConversion"/>
  </si>
  <si>
    <t>한국사영역 출제과목</t>
    <phoneticPr fontId="18" type="noConversion"/>
  </si>
  <si>
    <t>통합사회1</t>
    <phoneticPr fontId="18" type="noConversion"/>
  </si>
  <si>
    <t>탐구영역(사회/과학) 출제과목</t>
    <phoneticPr fontId="18" type="noConversion"/>
  </si>
  <si>
    <t>세계시민과 지리</t>
    <phoneticPr fontId="18" type="noConversion"/>
  </si>
  <si>
    <t>세계사</t>
    <phoneticPr fontId="18" type="noConversion"/>
  </si>
  <si>
    <t>사회와 문화</t>
    <phoneticPr fontId="18" type="noConversion"/>
  </si>
  <si>
    <t>현대사회와 윤리</t>
    <phoneticPr fontId="18" type="noConversion"/>
  </si>
  <si>
    <t>한국지리 탐구</t>
    <phoneticPr fontId="18" type="noConversion"/>
  </si>
  <si>
    <t>도시의 미래 탐구</t>
    <phoneticPr fontId="18" type="noConversion"/>
  </si>
  <si>
    <t>동아시아 역사 기행</t>
    <phoneticPr fontId="18" type="noConversion"/>
  </si>
  <si>
    <t>정치</t>
    <phoneticPr fontId="18" type="noConversion"/>
  </si>
  <si>
    <t>법과 사회</t>
    <phoneticPr fontId="18" type="noConversion"/>
  </si>
  <si>
    <t>경제</t>
    <phoneticPr fontId="18" type="noConversion"/>
  </si>
  <si>
    <t>윤리와 사상</t>
    <phoneticPr fontId="18" type="noConversion"/>
  </si>
  <si>
    <t>인문학과 윤리</t>
    <phoneticPr fontId="18" type="noConversion"/>
  </si>
  <si>
    <t>국제 관계의 이해</t>
    <phoneticPr fontId="18" type="noConversion"/>
  </si>
  <si>
    <t>여행지리</t>
    <phoneticPr fontId="18" type="noConversion"/>
  </si>
  <si>
    <t>역사로 탐구하는 현대 세계</t>
    <phoneticPr fontId="18" type="noConversion"/>
  </si>
  <si>
    <t>사회문제 탐구</t>
    <phoneticPr fontId="18" type="noConversion"/>
  </si>
  <si>
    <t>금융과 경제생활</t>
    <phoneticPr fontId="18" type="noConversion"/>
  </si>
  <si>
    <t>윤리문제 탐구</t>
    <phoneticPr fontId="18" type="noConversion"/>
  </si>
  <si>
    <t>기후변화와 지속가능한 세계</t>
    <phoneticPr fontId="18" type="noConversion"/>
  </si>
  <si>
    <t>과학</t>
    <phoneticPr fontId="18" type="noConversion"/>
  </si>
  <si>
    <t>통합과학1</t>
    <phoneticPr fontId="18" type="noConversion"/>
  </si>
  <si>
    <t>과학탐구실험1</t>
    <phoneticPr fontId="18" type="noConversion"/>
  </si>
  <si>
    <t>1학점</t>
    <phoneticPr fontId="18" type="noConversion"/>
  </si>
  <si>
    <t>물리학</t>
    <phoneticPr fontId="18" type="noConversion"/>
  </si>
  <si>
    <t>화학</t>
    <phoneticPr fontId="18" type="noConversion"/>
  </si>
  <si>
    <t>생명과학</t>
    <phoneticPr fontId="18" type="noConversion"/>
  </si>
  <si>
    <t>지구과학</t>
    <phoneticPr fontId="18" type="noConversion"/>
  </si>
  <si>
    <t>역학과 에너지</t>
    <phoneticPr fontId="18" type="noConversion"/>
  </si>
  <si>
    <t>전자기와 양자</t>
    <phoneticPr fontId="18" type="noConversion"/>
  </si>
  <si>
    <t>물질과 에너지</t>
    <phoneticPr fontId="18" type="noConversion"/>
  </si>
  <si>
    <t>화학 반응의 세계</t>
    <phoneticPr fontId="18" type="noConversion"/>
  </si>
  <si>
    <t>세포와 물질대사</t>
    <phoneticPr fontId="18" type="noConversion"/>
  </si>
  <si>
    <t>생물의 유전</t>
    <phoneticPr fontId="18" type="noConversion"/>
  </si>
  <si>
    <t>지구시스템과학</t>
    <phoneticPr fontId="18" type="noConversion"/>
  </si>
  <si>
    <t>행성우주과학</t>
    <phoneticPr fontId="18" type="noConversion"/>
  </si>
  <si>
    <t>과학의 역사와 문화</t>
    <phoneticPr fontId="18" type="noConversion"/>
  </si>
  <si>
    <t>기후변화와 환경생태</t>
    <phoneticPr fontId="18" type="noConversion"/>
  </si>
  <si>
    <t>융합과학 탐구</t>
    <phoneticPr fontId="18" type="noConversion"/>
  </si>
  <si>
    <t>체육</t>
    <phoneticPr fontId="18" type="noConversion"/>
  </si>
  <si>
    <t>체육1</t>
    <phoneticPr fontId="18" type="noConversion"/>
  </si>
  <si>
    <t>2~4</t>
    <phoneticPr fontId="18" type="noConversion"/>
  </si>
  <si>
    <t>체육2</t>
    <phoneticPr fontId="18" type="noConversion"/>
  </si>
  <si>
    <t>운동과 건강</t>
    <phoneticPr fontId="18" type="noConversion"/>
  </si>
  <si>
    <t>스포츠 문화</t>
    <phoneticPr fontId="18" type="noConversion"/>
  </si>
  <si>
    <t>2학점</t>
    <phoneticPr fontId="18" type="noConversion"/>
  </si>
  <si>
    <t>1~2</t>
    <phoneticPr fontId="18" type="noConversion"/>
  </si>
  <si>
    <t>스포츠 과학</t>
    <phoneticPr fontId="18" type="noConversion"/>
  </si>
  <si>
    <t>스포츠 생활1</t>
    <phoneticPr fontId="18" type="noConversion"/>
  </si>
  <si>
    <t>스포츠 생활2</t>
    <phoneticPr fontId="18" type="noConversion"/>
  </si>
  <si>
    <t>예술</t>
    <phoneticPr fontId="18" type="noConversion"/>
  </si>
  <si>
    <t>음악</t>
    <phoneticPr fontId="18" type="noConversion"/>
  </si>
  <si>
    <t>미술</t>
    <phoneticPr fontId="18" type="noConversion"/>
  </si>
  <si>
    <t>연극</t>
    <phoneticPr fontId="18" type="noConversion"/>
  </si>
  <si>
    <t>음악 연주와 창작</t>
    <phoneticPr fontId="18" type="noConversion"/>
  </si>
  <si>
    <t>음악 감상과 비평</t>
    <phoneticPr fontId="18" type="noConversion"/>
  </si>
  <si>
    <t>미술 창작</t>
    <phoneticPr fontId="18" type="noConversion"/>
  </si>
  <si>
    <t>미술 감상과 비평</t>
    <phoneticPr fontId="18" type="noConversion"/>
  </si>
  <si>
    <t>음악과 미디어</t>
    <phoneticPr fontId="18" type="noConversion"/>
  </si>
  <si>
    <t>미술과 매체</t>
    <phoneticPr fontId="18" type="noConversion"/>
  </si>
  <si>
    <t>기술·가정</t>
    <phoneticPr fontId="18" type="noConversion"/>
  </si>
  <si>
    <t>로봇과 공학세계</t>
    <phoneticPr fontId="18" type="noConversion"/>
  </si>
  <si>
    <t>생활과학 탐구</t>
    <phoneticPr fontId="18" type="noConversion"/>
  </si>
  <si>
    <t>창의 공학 설계</t>
    <phoneticPr fontId="18" type="noConversion"/>
  </si>
  <si>
    <t>지식 재산 일반</t>
    <phoneticPr fontId="18" type="noConversion"/>
  </si>
  <si>
    <t>생애 설계와 자립</t>
    <phoneticPr fontId="18" type="noConversion"/>
  </si>
  <si>
    <t>아동발달과 부모</t>
    <phoneticPr fontId="18" type="noConversion"/>
  </si>
  <si>
    <t>정보</t>
    <phoneticPr fontId="18" type="noConversion"/>
  </si>
  <si>
    <t>인공지능 기초</t>
    <phoneticPr fontId="18" type="noConversion"/>
  </si>
  <si>
    <t>데이터 과학</t>
    <phoneticPr fontId="18" type="noConversion"/>
  </si>
  <si>
    <t>소프트웨어와 생활</t>
    <phoneticPr fontId="18" type="noConversion"/>
  </si>
  <si>
    <t>독일어</t>
    <phoneticPr fontId="18" type="noConversion"/>
  </si>
  <si>
    <t>제2외국어영역 선택과목</t>
    <phoneticPr fontId="18" type="noConversion"/>
  </si>
  <si>
    <t>프랑스어</t>
    <phoneticPr fontId="18" type="noConversion"/>
  </si>
  <si>
    <t>스페인어</t>
    <phoneticPr fontId="18" type="noConversion"/>
  </si>
  <si>
    <t>중국어</t>
    <phoneticPr fontId="18" type="noConversion"/>
  </si>
  <si>
    <t>일본어</t>
    <phoneticPr fontId="18" type="noConversion"/>
  </si>
  <si>
    <t>러시아어</t>
    <phoneticPr fontId="18" type="noConversion"/>
  </si>
  <si>
    <t>아랍어</t>
    <phoneticPr fontId="18" type="noConversion"/>
  </si>
  <si>
    <t>베트남어</t>
    <phoneticPr fontId="18" type="noConversion"/>
  </si>
  <si>
    <t>독일어 회화</t>
    <phoneticPr fontId="18" type="noConversion"/>
  </si>
  <si>
    <t>프랑스어 회화</t>
    <phoneticPr fontId="18" type="noConversion"/>
  </si>
  <si>
    <t>스페인어 회화</t>
    <phoneticPr fontId="18" type="noConversion"/>
  </si>
  <si>
    <t>중국어 회화</t>
    <phoneticPr fontId="18" type="noConversion"/>
  </si>
  <si>
    <t>일본어 회화</t>
    <phoneticPr fontId="18" type="noConversion"/>
  </si>
  <si>
    <t>러시아어 회화</t>
    <phoneticPr fontId="18" type="noConversion"/>
  </si>
  <si>
    <t>아랍어 회화</t>
    <phoneticPr fontId="18" type="noConversion"/>
  </si>
  <si>
    <t>베트남어 회화</t>
    <phoneticPr fontId="18" type="noConversion"/>
  </si>
  <si>
    <t>심화 독일어</t>
    <phoneticPr fontId="18" type="noConversion"/>
  </si>
  <si>
    <t>심화 프랑스어</t>
    <phoneticPr fontId="18" type="noConversion"/>
  </si>
  <si>
    <t>심화 스페인어</t>
    <phoneticPr fontId="18" type="noConversion"/>
  </si>
  <si>
    <t>심화 중국어</t>
    <phoneticPr fontId="18" type="noConversion"/>
  </si>
  <si>
    <t>심화 일본어</t>
    <phoneticPr fontId="18" type="noConversion"/>
  </si>
  <si>
    <t>심화 러시아어</t>
    <phoneticPr fontId="18" type="noConversion"/>
  </si>
  <si>
    <t>심화 아랍어</t>
    <phoneticPr fontId="18" type="noConversion"/>
  </si>
  <si>
    <t>심화 베트남어</t>
    <phoneticPr fontId="18" type="noConversion"/>
  </si>
  <si>
    <t>독일어권 문화</t>
    <phoneticPr fontId="18" type="noConversion"/>
  </si>
  <si>
    <t>프랑스어권 문화</t>
    <phoneticPr fontId="18" type="noConversion"/>
  </si>
  <si>
    <t>스페인어권 문화</t>
    <phoneticPr fontId="18" type="noConversion"/>
  </si>
  <si>
    <t>중국 문화</t>
    <phoneticPr fontId="18" type="noConversion"/>
  </si>
  <si>
    <t>일본 문화</t>
    <phoneticPr fontId="18" type="noConversion"/>
  </si>
  <si>
    <t>러시아 문화</t>
    <phoneticPr fontId="18" type="noConversion"/>
  </si>
  <si>
    <t>아랍 문화</t>
    <phoneticPr fontId="18" type="noConversion"/>
  </si>
  <si>
    <t>베트남 문화</t>
    <phoneticPr fontId="18" type="noConversion"/>
  </si>
  <si>
    <t>한문</t>
    <phoneticPr fontId="18" type="noConversion"/>
  </si>
  <si>
    <t>한문 고전 읽기</t>
    <phoneticPr fontId="18" type="noConversion"/>
  </si>
  <si>
    <t>언어생활과 한자</t>
    <phoneticPr fontId="18" type="noConversion"/>
  </si>
  <si>
    <t>교양</t>
    <phoneticPr fontId="18" type="noConversion"/>
  </si>
  <si>
    <t>진로와 직업</t>
    <phoneticPr fontId="18" type="noConversion"/>
  </si>
  <si>
    <t>이수/미이수</t>
    <phoneticPr fontId="18" type="noConversion"/>
  </si>
  <si>
    <t>생태와 환경</t>
    <phoneticPr fontId="18" type="noConversion"/>
  </si>
  <si>
    <t>인간과 철학</t>
    <phoneticPr fontId="18" type="noConversion"/>
  </si>
  <si>
    <t>논리와 사고</t>
    <phoneticPr fontId="18" type="noConversion"/>
  </si>
  <si>
    <t>인간과 심리</t>
    <phoneticPr fontId="18" type="noConversion"/>
  </si>
  <si>
    <t>교육의 이해</t>
    <phoneticPr fontId="18" type="noConversion"/>
  </si>
  <si>
    <t>삶과 종교</t>
    <phoneticPr fontId="18" type="noConversion"/>
  </si>
  <si>
    <t>보건</t>
    <phoneticPr fontId="18" type="noConversion"/>
  </si>
  <si>
    <t>인간과 경제활동</t>
    <phoneticPr fontId="18" type="noConversion"/>
  </si>
  <si>
    <t>논술</t>
    <phoneticPr fontId="18" type="noConversion"/>
  </si>
  <si>
    <t>과학계열</t>
    <phoneticPr fontId="18" type="noConversion"/>
  </si>
  <si>
    <t>전문 수학</t>
    <phoneticPr fontId="18" type="noConversion"/>
  </si>
  <si>
    <t>이산 수학</t>
    <phoneticPr fontId="18" type="noConversion"/>
  </si>
  <si>
    <t>고급 기하</t>
    <phoneticPr fontId="18" type="noConversion"/>
  </si>
  <si>
    <t>고급 대수</t>
    <phoneticPr fontId="18" type="noConversion"/>
  </si>
  <si>
    <t>고급 미적분</t>
    <phoneticPr fontId="18" type="noConversion"/>
  </si>
  <si>
    <t>고급 물리학</t>
    <phoneticPr fontId="18" type="noConversion"/>
  </si>
  <si>
    <t>고급 화학</t>
    <phoneticPr fontId="18" type="noConversion"/>
  </si>
  <si>
    <t>고급 생명과학</t>
    <phoneticPr fontId="18" type="noConversion"/>
  </si>
  <si>
    <t>고급 지구과학</t>
    <phoneticPr fontId="18" type="noConversion"/>
  </si>
  <si>
    <t>과학과제 연구</t>
    <phoneticPr fontId="18" type="noConversion"/>
  </si>
  <si>
    <t>물리학 실험</t>
    <phoneticPr fontId="18" type="noConversion"/>
  </si>
  <si>
    <t>화학 실험</t>
    <phoneticPr fontId="18" type="noConversion"/>
  </si>
  <si>
    <t>생명과학 실험</t>
    <phoneticPr fontId="18" type="noConversion"/>
  </si>
  <si>
    <t>지구과학 실험</t>
    <phoneticPr fontId="18" type="noConversion"/>
  </si>
  <si>
    <t>정보과학</t>
    <phoneticPr fontId="18" type="noConversion"/>
  </si>
  <si>
    <t>체육계열</t>
    <phoneticPr fontId="18" type="noConversion"/>
  </si>
  <si>
    <t>스포츠 개론</t>
    <phoneticPr fontId="18" type="noConversion"/>
  </si>
  <si>
    <t>육상</t>
    <phoneticPr fontId="18" type="noConversion"/>
  </si>
  <si>
    <t>체조</t>
    <phoneticPr fontId="18" type="noConversion"/>
  </si>
  <si>
    <t>수상 스포츠</t>
    <phoneticPr fontId="18" type="noConversion"/>
  </si>
  <si>
    <t>기초 체육 전공 실기</t>
    <phoneticPr fontId="18" type="noConversion"/>
  </si>
  <si>
    <t>심화 체육 전공 실기</t>
    <phoneticPr fontId="18" type="noConversion"/>
  </si>
  <si>
    <t>고급 체육 전공 실기</t>
    <phoneticPr fontId="18" type="noConversion"/>
  </si>
  <si>
    <t>스포츠 경기 체력</t>
    <phoneticPr fontId="18" type="noConversion"/>
  </si>
  <si>
    <t>스포츠 경기 기술</t>
    <phoneticPr fontId="18" type="noConversion"/>
  </si>
  <si>
    <t>스포츠 경기 분석</t>
    <phoneticPr fontId="18" type="noConversion"/>
  </si>
  <si>
    <t>스포츠 교육</t>
    <phoneticPr fontId="18" type="noConversion"/>
  </si>
  <si>
    <t>스포츠 생리의학</t>
    <phoneticPr fontId="18" type="noConversion"/>
  </si>
  <si>
    <t>스포츠 행정 및 경영</t>
    <phoneticPr fontId="18" type="noConversion"/>
  </si>
  <si>
    <t>예술계열</t>
    <phoneticPr fontId="18" type="noConversion"/>
  </si>
  <si>
    <t>음악 이론</t>
    <phoneticPr fontId="18" type="noConversion"/>
  </si>
  <si>
    <t>음악사</t>
    <phoneticPr fontId="18" type="noConversion"/>
  </si>
  <si>
    <t>시창·청음</t>
    <phoneticPr fontId="18" type="noConversion"/>
  </si>
  <si>
    <t>음악 전공 실기</t>
    <phoneticPr fontId="18" type="noConversion"/>
  </si>
  <si>
    <t>합창·합주</t>
    <phoneticPr fontId="18" type="noConversion"/>
  </si>
  <si>
    <t>음악 공연 실습</t>
    <phoneticPr fontId="18" type="noConversion"/>
  </si>
  <si>
    <t>미술 이론</t>
    <phoneticPr fontId="18" type="noConversion"/>
  </si>
  <si>
    <t>드로잉</t>
    <phoneticPr fontId="18" type="noConversion"/>
  </si>
  <si>
    <t>미술사</t>
    <phoneticPr fontId="18" type="noConversion"/>
  </si>
  <si>
    <t>미술 전공 실기</t>
    <phoneticPr fontId="18" type="noConversion"/>
  </si>
  <si>
    <t>조형 탐구</t>
    <phoneticPr fontId="18" type="noConversion"/>
  </si>
  <si>
    <t>무용의 이해</t>
    <phoneticPr fontId="18" type="noConversion"/>
  </si>
  <si>
    <t>무용과 몸</t>
    <phoneticPr fontId="18" type="noConversion"/>
  </si>
  <si>
    <t>무용 기초 실기</t>
    <phoneticPr fontId="18" type="noConversion"/>
  </si>
  <si>
    <t>무용 전공 실기</t>
    <phoneticPr fontId="18" type="noConversion"/>
  </si>
  <si>
    <t>안무</t>
    <phoneticPr fontId="18" type="noConversion"/>
  </si>
  <si>
    <t>무용 제작 실습</t>
    <phoneticPr fontId="18" type="noConversion"/>
  </si>
  <si>
    <t>무용 감상과 비평</t>
    <phoneticPr fontId="18" type="noConversion"/>
  </si>
  <si>
    <t>문예 창작의 이해</t>
    <phoneticPr fontId="18" type="noConversion"/>
  </si>
  <si>
    <t>문장론</t>
    <phoneticPr fontId="18" type="noConversion"/>
  </si>
  <si>
    <t>문학 감상과 비평</t>
    <phoneticPr fontId="18" type="noConversion"/>
  </si>
  <si>
    <t>시 창작</t>
    <phoneticPr fontId="18" type="noConversion"/>
  </si>
  <si>
    <t>소설 창작</t>
    <phoneticPr fontId="18" type="noConversion"/>
  </si>
  <si>
    <t>극 창작</t>
    <phoneticPr fontId="18" type="noConversion"/>
  </si>
  <si>
    <t>연극과 몸</t>
    <phoneticPr fontId="18" type="noConversion"/>
  </si>
  <si>
    <t>연극과 말</t>
    <phoneticPr fontId="18" type="noConversion"/>
  </si>
  <si>
    <t>연기</t>
    <phoneticPr fontId="18" type="noConversion"/>
  </si>
  <si>
    <t>무대 미술과 기술</t>
    <phoneticPr fontId="18" type="noConversion"/>
  </si>
  <si>
    <t>연극 제작 실습</t>
    <phoneticPr fontId="18" type="noConversion"/>
  </si>
  <si>
    <t>연극 감상과 비평</t>
    <phoneticPr fontId="18" type="noConversion"/>
  </si>
  <si>
    <t>영화의 이해</t>
    <phoneticPr fontId="18" type="noConversion"/>
  </si>
  <si>
    <t>촬영·조명</t>
    <phoneticPr fontId="18" type="noConversion"/>
  </si>
  <si>
    <t>편집·사운드</t>
    <phoneticPr fontId="18" type="noConversion"/>
  </si>
  <si>
    <t>영화 제작 실습</t>
    <phoneticPr fontId="18" type="noConversion"/>
  </si>
  <si>
    <t>영화 감상과 비평</t>
    <phoneticPr fontId="18" type="noConversion"/>
  </si>
  <si>
    <t>사진의 이해</t>
    <phoneticPr fontId="18" type="noConversion"/>
  </si>
  <si>
    <t>사진 촬영</t>
    <phoneticPr fontId="18" type="noConversion"/>
  </si>
  <si>
    <t>사진 표현 기법</t>
    <phoneticPr fontId="18" type="noConversion"/>
  </si>
  <si>
    <t>영상 제작의 이해</t>
    <phoneticPr fontId="18" type="noConversion"/>
  </si>
  <si>
    <t>사진 감상과 비평</t>
    <phoneticPr fontId="18" type="noConversion"/>
  </si>
  <si>
    <t>음악과 문화</t>
    <phoneticPr fontId="18" type="noConversion"/>
  </si>
  <si>
    <t>미술 매체 탐구</t>
    <phoneticPr fontId="18" type="noConversion"/>
  </si>
  <si>
    <t>미술과 사회</t>
    <phoneticPr fontId="18" type="noConversion"/>
  </si>
  <si>
    <t>무용과 매체</t>
    <phoneticPr fontId="18" type="noConversion"/>
  </si>
  <si>
    <t>문학과 매체</t>
    <phoneticPr fontId="18" type="noConversion"/>
  </si>
  <si>
    <t>연극과 삶</t>
    <phoneticPr fontId="18" type="noConversion"/>
  </si>
  <si>
    <t>영화와 삶</t>
    <phoneticPr fontId="18" type="noConversion"/>
  </si>
  <si>
    <t>사진과 삶</t>
    <phoneticPr fontId="18" type="noConversion"/>
  </si>
  <si>
    <r>
      <t>성취도</t>
    </r>
    <r>
      <rPr>
        <sz val="10"/>
        <color theme="1"/>
        <rFont val="Calibri"/>
        <family val="2"/>
        <charset val="129"/>
        <scheme val="minor"/>
      </rPr>
      <t xml:space="preserve"> 5</t>
    </r>
    <r>
      <rPr>
        <sz val="10"/>
        <color theme="1"/>
        <rFont val="Calibri"/>
        <family val="3"/>
        <charset val="129"/>
        <scheme val="minor"/>
      </rPr>
      <t>단계</t>
    </r>
    <r>
      <rPr>
        <sz val="10"/>
        <color theme="1"/>
        <rFont val="Calibri"/>
        <family val="2"/>
        <charset val="129"/>
        <scheme val="minor"/>
      </rPr>
      <t>+</t>
    </r>
    <r>
      <rPr>
        <sz val="10"/>
        <color theme="1"/>
        <rFont val="Calibri"/>
        <family val="3"/>
        <charset val="129"/>
        <scheme val="minor"/>
      </rPr>
      <t>석차등급</t>
    </r>
    <r>
      <rPr>
        <sz val="10"/>
        <color theme="1"/>
        <rFont val="Calibri"/>
        <family val="2"/>
        <charset val="129"/>
        <scheme val="minor"/>
      </rPr>
      <t>O</t>
    </r>
  </si>
  <si>
    <r>
      <t>성취도</t>
    </r>
    <r>
      <rPr>
        <sz val="10"/>
        <color theme="1"/>
        <rFont val="Calibri"/>
        <family val="2"/>
        <charset val="129"/>
        <scheme val="minor"/>
      </rPr>
      <t xml:space="preserve"> 5</t>
    </r>
    <r>
      <rPr>
        <sz val="10"/>
        <color theme="1"/>
        <rFont val="Calibri"/>
        <family val="3"/>
        <charset val="129"/>
        <scheme val="minor"/>
      </rPr>
      <t>단계</t>
    </r>
    <r>
      <rPr>
        <sz val="10"/>
        <color theme="1"/>
        <rFont val="Calibri"/>
        <family val="2"/>
        <charset val="129"/>
        <scheme val="minor"/>
      </rPr>
      <t>+</t>
    </r>
    <r>
      <rPr>
        <sz val="10"/>
        <color theme="1"/>
        <rFont val="Calibri"/>
        <family val="3"/>
        <charset val="129"/>
        <scheme val="minor"/>
      </rPr>
      <t>석차등급</t>
    </r>
    <r>
      <rPr>
        <sz val="10"/>
        <color theme="1"/>
        <rFont val="Calibri"/>
        <family val="2"/>
        <charset val="129"/>
        <scheme val="minor"/>
      </rPr>
      <t>X</t>
    </r>
  </si>
  <si>
    <r>
      <t>성취도</t>
    </r>
    <r>
      <rPr>
        <sz val="10"/>
        <color theme="1"/>
        <rFont val="Calibri"/>
        <family val="2"/>
        <charset val="129"/>
        <scheme val="minor"/>
      </rPr>
      <t xml:space="preserve"> 3</t>
    </r>
    <r>
      <rPr>
        <sz val="10"/>
        <color theme="1"/>
        <rFont val="Calibri"/>
        <family val="3"/>
        <charset val="129"/>
        <scheme val="minor"/>
      </rPr>
      <t>단계</t>
    </r>
  </si>
  <si>
    <t>유형</t>
    <phoneticPr fontId="18" type="noConversion"/>
  </si>
  <si>
    <t>기본학점</t>
    <phoneticPr fontId="18" type="noConversion"/>
  </si>
  <si>
    <t>편성 최소 학점</t>
    <phoneticPr fontId="18" type="noConversion"/>
  </si>
  <si>
    <t>편성 최대 학점</t>
    <phoneticPr fontId="18" type="noConversion"/>
  </si>
  <si>
    <r>
      <rPr>
        <b/>
        <sz val="10"/>
        <color theme="1"/>
        <rFont val="맑은 고딕"/>
        <family val="3"/>
        <charset val="129"/>
      </rPr>
      <t>편성</t>
    </r>
    <r>
      <rPr>
        <b/>
        <sz val="10"/>
        <color theme="1"/>
        <rFont val="Calibri"/>
        <family val="2"/>
        <scheme val="minor"/>
      </rPr>
      <t xml:space="preserve"> </t>
    </r>
    <r>
      <rPr>
        <b/>
        <sz val="10"/>
        <color theme="1"/>
        <rFont val="맑은 고딕"/>
        <family val="3"/>
        <charset val="129"/>
      </rPr>
      <t>학점 범위</t>
    </r>
    <phoneticPr fontId="18" type="noConversion"/>
  </si>
  <si>
    <t>영어</t>
    <phoneticPr fontId="15" type="noConversion"/>
  </si>
  <si>
    <t>외국어·국제계열</t>
    <phoneticPr fontId="15" type="noConversion"/>
  </si>
  <si>
    <t>심화 영어 회화Ⅰ</t>
    <phoneticPr fontId="15" type="noConversion"/>
  </si>
  <si>
    <t>심화 영어 회화Ⅱ</t>
    <phoneticPr fontId="15" type="noConversion"/>
  </si>
  <si>
    <t>심화 영어Ⅰ</t>
    <phoneticPr fontId="15" type="noConversion"/>
  </si>
  <si>
    <t>심화 영어Ⅱ</t>
    <phoneticPr fontId="15" type="noConversion"/>
  </si>
  <si>
    <t>심화 영어 독해Ⅰ</t>
    <phoneticPr fontId="15" type="noConversion"/>
  </si>
  <si>
    <t>심화 영어 독해Ⅱ</t>
    <phoneticPr fontId="15" type="noConversion"/>
  </si>
  <si>
    <t>심화 영어 작문Ⅰ</t>
    <phoneticPr fontId="15" type="noConversion"/>
  </si>
  <si>
    <t>심화 영어 작문Ⅱ</t>
    <phoneticPr fontId="15" type="noConversion"/>
  </si>
  <si>
    <t>국제 정치</t>
    <phoneticPr fontId="15" type="noConversion"/>
  </si>
  <si>
    <t>4학점</t>
    <phoneticPr fontId="15" type="noConversion"/>
  </si>
  <si>
    <t>국제 경제</t>
    <phoneticPr fontId="15" type="noConversion"/>
  </si>
  <si>
    <t>국제법</t>
    <phoneticPr fontId="15" type="noConversion"/>
  </si>
  <si>
    <t>지역 이해</t>
    <phoneticPr fontId="15" type="noConversion"/>
  </si>
  <si>
    <t>한국 사회의 이해</t>
    <phoneticPr fontId="15" type="noConversion"/>
  </si>
  <si>
    <t>비교 문화</t>
    <phoneticPr fontId="15" type="noConversion"/>
  </si>
  <si>
    <t>세계 문제와 미래 사회</t>
    <phoneticPr fontId="15" type="noConversion"/>
  </si>
  <si>
    <t>국제 관계와 국제기구</t>
    <phoneticPr fontId="15" type="noConversion"/>
  </si>
  <si>
    <t>현대 세계의 변화</t>
    <phoneticPr fontId="15" type="noConversion"/>
  </si>
  <si>
    <t>사회 탐구 방법</t>
    <phoneticPr fontId="15" type="noConversion"/>
  </si>
  <si>
    <t>사회과제연구</t>
    <phoneticPr fontId="15" type="noConversion"/>
  </si>
  <si>
    <t>제2외국어</t>
    <phoneticPr fontId="15" type="noConversion"/>
  </si>
  <si>
    <t>전공 기초 독일어</t>
  </si>
  <si>
    <t>독일어 회화Ⅰ</t>
  </si>
  <si>
    <t>독일어 회화Ⅱ</t>
  </si>
  <si>
    <t>독일어 독해와 작문Ⅰ</t>
  </si>
  <si>
    <t>독일어 독해와 작문Ⅱ</t>
  </si>
  <si>
    <t>전공 기초 프랑스어</t>
  </si>
  <si>
    <t>프랑스어 회화Ⅰ</t>
  </si>
  <si>
    <t>프랑스어 회화Ⅱ</t>
  </si>
  <si>
    <t>프랑스어 독해와 작문Ⅰ</t>
    <phoneticPr fontId="18" type="noConversion"/>
  </si>
  <si>
    <t>프랑스어 독해와 작문Ⅱ</t>
  </si>
  <si>
    <t>전공 기초 스페인어</t>
  </si>
  <si>
    <t>스페인어 회화Ⅰ</t>
  </si>
  <si>
    <t>스페인어 회화Ⅱ</t>
    <phoneticPr fontId="18" type="noConversion"/>
  </si>
  <si>
    <t>스페인어 독해와 작문Ⅰ</t>
    <phoneticPr fontId="18" type="noConversion"/>
  </si>
  <si>
    <t>스페인어 독해와 작문Ⅱ</t>
  </si>
  <si>
    <t>전공 기초 중국어</t>
  </si>
  <si>
    <t>중국어 회화Ⅰ</t>
  </si>
  <si>
    <t>중국어 회화Ⅱ</t>
  </si>
  <si>
    <t>중국어 독해와 작문Ⅰ</t>
  </si>
  <si>
    <t>중국어 독해와 작문Ⅱ</t>
  </si>
  <si>
    <t>전공 기초 일본어</t>
  </si>
  <si>
    <t>일본어 회화Ⅰ</t>
  </si>
  <si>
    <t>일본어 회화Ⅱ</t>
  </si>
  <si>
    <t>일본어 독해와 작문Ⅰ</t>
  </si>
  <si>
    <t>일본어 독해와 작문Ⅱ</t>
  </si>
  <si>
    <t>전공 기초 러시아어</t>
  </si>
  <si>
    <t>러시아어 회화Ⅰ</t>
  </si>
  <si>
    <t>러시아어 회화Ⅱ</t>
  </si>
  <si>
    <t>러시아어 독해와 작문Ⅰ</t>
  </si>
  <si>
    <t>러시아어 독해와 작문Ⅱ</t>
  </si>
  <si>
    <t>전공 기초 아랍어</t>
  </si>
  <si>
    <t>아랍어 회화Ⅰ</t>
  </si>
  <si>
    <t>아랍어 회화Ⅱ</t>
    <phoneticPr fontId="18" type="noConversion"/>
  </si>
  <si>
    <t>아랍어 독해와 작문Ⅰ</t>
  </si>
  <si>
    <t>아랍어 독해와 작문Ⅱ</t>
  </si>
  <si>
    <t>전공 기초 베트남어</t>
  </si>
  <si>
    <t>베트남어 회화Ⅰ</t>
  </si>
  <si>
    <t>베트남어 회화Ⅱ</t>
  </si>
  <si>
    <t>베트남어 독해와 작문Ⅰ</t>
  </si>
  <si>
    <t>베트남어 독해와 작문Ⅱ</t>
  </si>
  <si>
    <t>3~5</t>
    <phoneticPr fontId="15" type="noConversion"/>
  </si>
  <si>
    <t>성취도 3단계</t>
    <phoneticPr fontId="18" type="noConversion"/>
  </si>
  <si>
    <t>제2외국어</t>
    <phoneticPr fontId="18" type="noConversion"/>
  </si>
  <si>
    <t>외국어·국제 계열 고등학교 전공 관련 선택 과목으로 편성 가능</t>
  </si>
  <si>
    <t>외국어·국제 계열 고등학교 전공 관련 선택 과목으로 편성 가능</t>
    <phoneticPr fontId="15" type="noConversion"/>
  </si>
  <si>
    <t>외국어·국제 계열 고등학교 전공 관련 선택 과목</t>
    <phoneticPr fontId="15" type="noConversion"/>
  </si>
  <si>
    <t>과학계열 고등학교 전공 관련 선택 과목</t>
    <phoneticPr fontId="15" type="noConversion"/>
  </si>
  <si>
    <t>체육계열 고등학교 전공 관련 선택 과목</t>
    <phoneticPr fontId="15" type="noConversion"/>
  </si>
  <si>
    <t>예술계열 고등학교 전공 관련 선택 과목</t>
    <phoneticPr fontId="15" type="noConversion"/>
  </si>
  <si>
    <r>
      <t xml:space="preserve">2022 </t>
    </r>
    <r>
      <rPr>
        <b/>
        <sz val="20"/>
        <color theme="1"/>
        <rFont val="맑은 고딕"/>
        <family val="3"/>
        <charset val="129"/>
      </rPr>
      <t>개정</t>
    </r>
    <r>
      <rPr>
        <b/>
        <sz val="20"/>
        <color theme="1"/>
        <rFont val="Calibri"/>
        <family val="2"/>
        <scheme val="minor"/>
      </rPr>
      <t xml:space="preserve"> </t>
    </r>
    <r>
      <rPr>
        <b/>
        <sz val="20"/>
        <color theme="1"/>
        <rFont val="맑은 고딕"/>
        <family val="3"/>
        <charset val="129"/>
      </rPr>
      <t>교육과정</t>
    </r>
    <r>
      <rPr>
        <b/>
        <sz val="20"/>
        <color theme="1"/>
        <rFont val="Calibri"/>
        <family val="2"/>
        <scheme val="minor"/>
      </rPr>
      <t xml:space="preserve"> </t>
    </r>
    <r>
      <rPr>
        <b/>
        <sz val="20"/>
        <color theme="1"/>
        <rFont val="맑은 고딕"/>
        <family val="3"/>
        <charset val="129"/>
      </rPr>
      <t>고등학교</t>
    </r>
    <r>
      <rPr>
        <b/>
        <sz val="20"/>
        <color theme="1"/>
        <rFont val="Calibri"/>
        <family val="2"/>
        <scheme val="minor"/>
      </rPr>
      <t xml:space="preserve"> </t>
    </r>
    <r>
      <rPr>
        <b/>
        <sz val="20"/>
        <color theme="1"/>
        <rFont val="맑은 고딕"/>
        <family val="3"/>
        <charset val="129"/>
      </rPr>
      <t>보통교과</t>
    </r>
    <r>
      <rPr>
        <b/>
        <sz val="20"/>
        <color theme="1"/>
        <rFont val="Calibri"/>
        <family val="2"/>
        <scheme val="minor"/>
      </rPr>
      <t xml:space="preserve"> </t>
    </r>
    <r>
      <rPr>
        <b/>
        <sz val="20"/>
        <color theme="1"/>
        <rFont val="맑은 고딕"/>
        <family val="3"/>
        <charset val="129"/>
      </rPr>
      <t>교과목</t>
    </r>
    <r>
      <rPr>
        <b/>
        <sz val="20"/>
        <color theme="1"/>
        <rFont val="Calibri"/>
        <family val="2"/>
        <scheme val="minor"/>
      </rPr>
      <t xml:space="preserve"> </t>
    </r>
    <r>
      <rPr>
        <b/>
        <sz val="20"/>
        <color theme="1"/>
        <rFont val="맑은 고딕"/>
        <family val="3"/>
        <charset val="129"/>
      </rPr>
      <t>목록</t>
    </r>
    <phoneticPr fontId="18" type="noConversion"/>
  </si>
  <si>
    <t>개설 여부</t>
    <phoneticPr fontId="18" type="noConversion"/>
  </si>
  <si>
    <t>1학기</t>
    <phoneticPr fontId="18" type="noConversion"/>
  </si>
  <si>
    <t>2학기</t>
    <phoneticPr fontId="18" type="noConversion"/>
  </si>
  <si>
    <t>O</t>
  </si>
  <si>
    <t>X</t>
  </si>
  <si>
    <t>과목
유형</t>
    <phoneticPr fontId="18" type="noConversion"/>
  </si>
  <si>
    <t>과목</t>
    <phoneticPr fontId="18" type="noConversion"/>
  </si>
  <si>
    <t>1학년</t>
    <phoneticPr fontId="18" type="noConversion"/>
  </si>
  <si>
    <t>2학년</t>
    <phoneticPr fontId="18" type="noConversion"/>
  </si>
  <si>
    <t>3학년</t>
    <phoneticPr fontId="18" type="noConversion"/>
  </si>
  <si>
    <t>성적처리 유형</t>
    <phoneticPr fontId="18" type="noConversion"/>
  </si>
  <si>
    <t>기본
학점</t>
    <phoneticPr fontId="18" type="noConversion"/>
  </si>
  <si>
    <t>운영
학점</t>
    <phoneticPr fontId="18" type="noConversion"/>
  </si>
  <si>
    <t>구분</t>
    <phoneticPr fontId="15" type="noConversion"/>
  </si>
  <si>
    <r>
      <rPr>
        <sz val="11"/>
        <color theme="1"/>
        <rFont val="Malgun Gothic"/>
        <family val="2"/>
        <charset val="129"/>
      </rPr>
      <t>학교</t>
    </r>
    <r>
      <rPr>
        <sz val="11"/>
        <color theme="1"/>
        <rFont val="Calibri"/>
        <family val="2"/>
        <charset val="129"/>
        <scheme val="minor"/>
      </rPr>
      <t xml:space="preserve"> </t>
    </r>
    <r>
      <rPr>
        <sz val="11"/>
        <color theme="1"/>
        <rFont val="Malgun Gothic"/>
        <family val="2"/>
        <charset val="129"/>
      </rPr>
      <t>지정</t>
    </r>
    <r>
      <rPr>
        <sz val="11"/>
        <color theme="1"/>
        <rFont val="Calibri"/>
        <family val="2"/>
        <charset val="129"/>
        <scheme val="minor"/>
      </rPr>
      <t xml:space="preserve"> </t>
    </r>
    <r>
      <rPr>
        <sz val="11"/>
        <color theme="1"/>
        <rFont val="Malgun Gothic"/>
        <family val="2"/>
        <charset val="129"/>
      </rPr>
      <t>과목</t>
    </r>
    <r>
      <rPr>
        <sz val="11"/>
        <color theme="1"/>
        <rFont val="Calibri"/>
        <family val="2"/>
        <charset val="129"/>
        <scheme val="minor"/>
      </rPr>
      <t xml:space="preserve"> </t>
    </r>
    <r>
      <rPr>
        <sz val="11"/>
        <color theme="1"/>
        <rFont val="Malgun Gothic"/>
        <family val="2"/>
        <charset val="129"/>
      </rPr>
      <t>교과</t>
    </r>
    <r>
      <rPr>
        <sz val="11"/>
        <color theme="1"/>
        <rFont val="Calibri"/>
        <family val="2"/>
        <charset val="129"/>
        <scheme val="minor"/>
      </rPr>
      <t xml:space="preserve"> </t>
    </r>
    <r>
      <rPr>
        <sz val="11"/>
        <color theme="1"/>
        <rFont val="맑은 고딕"/>
        <family val="2"/>
        <charset val="129"/>
      </rPr>
      <t>편성</t>
    </r>
    <r>
      <rPr>
        <sz val="11"/>
        <color theme="1"/>
        <rFont val="Calibri"/>
        <family val="2"/>
        <charset val="129"/>
        <scheme val="minor"/>
      </rPr>
      <t xml:space="preserve"> </t>
    </r>
    <r>
      <rPr>
        <sz val="11"/>
        <color theme="1"/>
        <rFont val="Malgun Gothic"/>
        <family val="2"/>
        <charset val="129"/>
      </rPr>
      <t>학점</t>
    </r>
    <phoneticPr fontId="15" type="noConversion"/>
  </si>
  <si>
    <t>학생 선택 과목 교과 편성 학점</t>
    <phoneticPr fontId="15" type="noConversion"/>
  </si>
  <si>
    <t>총 교과 편성 학점</t>
    <phoneticPr fontId="15" type="noConversion"/>
  </si>
  <si>
    <t>편성 학점 수</t>
    <phoneticPr fontId="15" type="noConversion"/>
  </si>
  <si>
    <t>창의적 체험활동 학점</t>
    <phoneticPr fontId="15" type="noConversion"/>
  </si>
  <si>
    <t>문학</t>
  </si>
  <si>
    <t>독서와 작문</t>
  </si>
  <si>
    <t>대수</t>
  </si>
  <si>
    <t>확률과 통계</t>
  </si>
  <si>
    <t>영어Ⅰ</t>
  </si>
  <si>
    <t>영어Ⅱ</t>
  </si>
  <si>
    <t>사회</t>
  </si>
  <si>
    <t>과학</t>
  </si>
  <si>
    <t>체육</t>
  </si>
  <si>
    <t>예술</t>
  </si>
  <si>
    <t>음악↔미술</t>
  </si>
  <si>
    <t>주제 탐구 독서</t>
  </si>
  <si>
    <t>영어 독해와 작문</t>
  </si>
  <si>
    <t>현대사회와 윤리</t>
  </si>
  <si>
    <t>세계시민과 지리</t>
  </si>
  <si>
    <t>사회와 문화</t>
  </si>
  <si>
    <t>물리학</t>
  </si>
  <si>
    <t>화학</t>
  </si>
  <si>
    <t>생명과학</t>
  </si>
  <si>
    <t>지구과학</t>
  </si>
  <si>
    <t>제2외국어</t>
  </si>
  <si>
    <t>일본어</t>
  </si>
  <si>
    <t>일본어 회화</t>
  </si>
  <si>
    <t>한문</t>
  </si>
  <si>
    <t>교양</t>
  </si>
  <si>
    <t>보건</t>
  </si>
  <si>
    <t>생태와 환경</t>
  </si>
  <si>
    <t>교육의 이해</t>
  </si>
  <si>
    <t>수학과제 탐구</t>
  </si>
  <si>
    <t>기하</t>
  </si>
  <si>
    <t>경제 수학</t>
  </si>
  <si>
    <t>세계사</t>
  </si>
  <si>
    <t>여행지리</t>
  </si>
  <si>
    <t>사회문제 탐구</t>
  </si>
  <si>
    <t>과학과제 연구</t>
  </si>
  <si>
    <t>화법과 언어</t>
  </si>
  <si>
    <t>미적분Ⅰ</t>
  </si>
  <si>
    <t>수학과 문화</t>
  </si>
  <si>
    <t>심화 영어 독해와 작문</t>
  </si>
  <si>
    <t>스포츠 생활2</t>
  </si>
  <si>
    <t>스포츠 문화</t>
  </si>
  <si>
    <t>스포츠 과학</t>
  </si>
  <si>
    <t>인공지능 기초</t>
  </si>
  <si>
    <t>경제</t>
  </si>
  <si>
    <t>법과 사회</t>
  </si>
  <si>
    <t>한국지리 탐구</t>
  </si>
  <si>
    <t>윤리와 사상</t>
  </si>
  <si>
    <t>동아시아 역사 기행</t>
  </si>
  <si>
    <t>전자기와 양자</t>
  </si>
  <si>
    <t>물질과 에너지</t>
  </si>
  <si>
    <t>행성우주과학</t>
  </si>
  <si>
    <t>중국어</t>
  </si>
  <si>
    <t>중국어 회화</t>
  </si>
  <si>
    <t>문학과 영상</t>
  </si>
  <si>
    <t>미적분Ⅱ</t>
  </si>
  <si>
    <t>세계 문화와 영어</t>
  </si>
  <si>
    <t>정치</t>
  </si>
  <si>
    <t>국제 관계의 이해</t>
  </si>
  <si>
    <t>도시의 미래 탐구</t>
  </si>
  <si>
    <t>인문학과 윤리</t>
  </si>
  <si>
    <t>역사로 탐구하는 현대 세계</t>
  </si>
  <si>
    <t>역학과 에너지</t>
  </si>
  <si>
    <t>화학 반응의 세계</t>
  </si>
  <si>
    <t>지구시스템과학</t>
  </si>
  <si>
    <t>생물의 유전</t>
  </si>
  <si>
    <t>고급 화학</t>
  </si>
  <si>
    <t>고급 생명과학</t>
  </si>
  <si>
    <t>일본 문화</t>
  </si>
  <si>
    <t>중국 문화</t>
  </si>
  <si>
    <t>독서 토론과 글쓰기</t>
  </si>
  <si>
    <t>미디어 영어</t>
  </si>
  <si>
    <t>기후변화와 지속가능한 세계</t>
  </si>
  <si>
    <t>금융과 경제생활</t>
  </si>
  <si>
    <t>윤리문제 탐구</t>
  </si>
  <si>
    <t>기후변화와 환경생태</t>
  </si>
  <si>
    <t>융합과학 탐구</t>
  </si>
  <si>
    <t>심화 일본어</t>
  </si>
  <si>
    <t>심화 중국어</t>
  </si>
  <si>
    <t>논술</t>
  </si>
  <si>
    <t>창의적 체험활동 학점</t>
  </si>
  <si>
    <t>음악 연주와 창작↔미술 창작</t>
  </si>
  <si>
    <t>스포츠 생활1</t>
    <phoneticPr fontId="15" type="noConversion"/>
  </si>
  <si>
    <t>외국어·국제 계열 고등학교 전공 관련 선택 과목으로 편성 가능</t>
    <phoneticPr fontId="18" type="noConversion"/>
  </si>
  <si>
    <t>과학계열 고등학교 전공 관련 선택 과목</t>
    <phoneticPr fontId="18" type="noConversion"/>
  </si>
  <si>
    <t>체육계열 고등학교 전공 관련 선택 과목</t>
    <phoneticPr fontId="18" type="noConversion"/>
  </si>
  <si>
    <t>예술계열 고등학교 전공 관련 선택 과목</t>
    <phoneticPr fontId="18" type="noConversion"/>
  </si>
  <si>
    <t>외국어·국제 계열 고등학교 전공 관련 선택 과목</t>
    <phoneticPr fontId="18" type="noConversion"/>
  </si>
  <si>
    <t>과학</t>
    <phoneticPr fontId="15" type="noConversion"/>
  </si>
  <si>
    <t>사회</t>
    <phoneticPr fontId="15" type="noConversion"/>
  </si>
  <si>
    <t>교과군</t>
    <phoneticPr fontId="18" type="noConversion"/>
  </si>
  <si>
    <t>정보</t>
    <phoneticPr fontId="18" type="noConversion"/>
  </si>
  <si>
    <t>예술</t>
    <phoneticPr fontId="18" type="noConversion"/>
  </si>
  <si>
    <t>영어</t>
    <phoneticPr fontId="18" type="noConversion"/>
  </si>
  <si>
    <t>사회</t>
    <phoneticPr fontId="18" type="noConversion"/>
  </si>
  <si>
    <t>제2외국어</t>
    <phoneticPr fontId="18" type="noConversion"/>
  </si>
  <si>
    <t>국어</t>
    <phoneticPr fontId="15" type="noConversion"/>
  </si>
  <si>
    <t>교양</t>
    <phoneticPr fontId="15" type="noConversion"/>
  </si>
  <si>
    <t>총 교과 편성 학점</t>
    <phoneticPr fontId="15" type="noConversion"/>
  </si>
  <si>
    <t>편성 학점 수</t>
    <phoneticPr fontId="15" type="noConversion"/>
  </si>
  <si>
    <r>
      <rPr>
        <b/>
        <sz val="12"/>
        <color rgb="FF0000FF"/>
        <rFont val="맑은 고딕"/>
        <family val="3"/>
        <charset val="129"/>
      </rPr>
      <t>창원여자고등학교</t>
    </r>
    <r>
      <rPr>
        <b/>
        <sz val="12"/>
        <color theme="1"/>
        <rFont val="Calibri"/>
        <family val="3"/>
        <charset val="129"/>
        <scheme val="minor"/>
      </rPr>
      <t>(</t>
    </r>
    <r>
      <rPr>
        <b/>
        <sz val="12"/>
        <color rgb="FFFF0000"/>
        <rFont val="맑은 고딕"/>
        <family val="3"/>
        <charset val="129"/>
      </rPr>
      <t>공립</t>
    </r>
    <r>
      <rPr>
        <b/>
        <sz val="12"/>
        <color theme="1"/>
        <rFont val="Calibri"/>
        <family val="3"/>
        <charset val="129"/>
        <scheme val="minor"/>
      </rPr>
      <t>)</t>
    </r>
    <phoneticPr fontId="18" type="noConversion"/>
  </si>
  <si>
    <t>공통국어1</t>
    <phoneticPr fontId="15" type="noConversion"/>
  </si>
  <si>
    <t>공통국어2</t>
    <phoneticPr fontId="15" type="noConversion"/>
  </si>
  <si>
    <t>화법과 언어</t>
    <phoneticPr fontId="15" type="noConversion"/>
  </si>
  <si>
    <t>문학</t>
    <phoneticPr fontId="15" type="noConversion"/>
  </si>
  <si>
    <t>독서와 작문</t>
    <phoneticPr fontId="15" type="noConversion"/>
  </si>
  <si>
    <t>주제 탐구 독서</t>
    <phoneticPr fontId="15" type="noConversion"/>
  </si>
  <si>
    <t>대수</t>
    <phoneticPr fontId="15" type="noConversion"/>
  </si>
  <si>
    <t>미적분Ⅰ</t>
    <phoneticPr fontId="15" type="noConversion"/>
  </si>
  <si>
    <t>확률과 통계</t>
    <phoneticPr fontId="15" type="noConversion"/>
  </si>
  <si>
    <t>수학과 문화</t>
    <phoneticPr fontId="15" type="noConversion"/>
  </si>
  <si>
    <t>영어Ⅰ</t>
    <phoneticPr fontId="15" type="noConversion"/>
  </si>
  <si>
    <t>영어Ⅱ</t>
    <phoneticPr fontId="15" type="noConversion"/>
  </si>
  <si>
    <t>영어 독해와 작문</t>
    <phoneticPr fontId="15" type="noConversion"/>
  </si>
  <si>
    <t>심화 영어 독해와 작문</t>
    <phoneticPr fontId="15" type="noConversion"/>
  </si>
  <si>
    <t>체육</t>
    <phoneticPr fontId="15" type="noConversion"/>
  </si>
  <si>
    <t>체육1</t>
    <phoneticPr fontId="15" type="noConversion"/>
  </si>
  <si>
    <t>체육2</t>
    <phoneticPr fontId="15" type="noConversion"/>
  </si>
  <si>
    <t>스포츠 생활2</t>
    <phoneticPr fontId="15" type="noConversion"/>
  </si>
  <si>
    <t>스포츠 문화</t>
    <phoneticPr fontId="15" type="noConversion"/>
  </si>
  <si>
    <t>스포츠 과학</t>
    <phoneticPr fontId="15" type="noConversion"/>
  </si>
  <si>
    <t>예술</t>
    <phoneticPr fontId="15" type="noConversion"/>
  </si>
  <si>
    <t>음악↔미술</t>
    <phoneticPr fontId="15" type="noConversion"/>
  </si>
  <si>
    <t>정보</t>
    <phoneticPr fontId="15" type="noConversion"/>
  </si>
  <si>
    <t>인공지능 기초</t>
    <phoneticPr fontId="15" type="noConversion"/>
  </si>
  <si>
    <t>인공지능 수학</t>
    <phoneticPr fontId="15" type="noConversion"/>
  </si>
  <si>
    <t>사회와 문화</t>
    <phoneticPr fontId="15" type="noConversion"/>
  </si>
  <si>
    <t>세계사</t>
    <phoneticPr fontId="15" type="noConversion"/>
  </si>
  <si>
    <t>세계시민과 지리</t>
    <phoneticPr fontId="15" type="noConversion"/>
  </si>
  <si>
    <t>현대사회와 윤리</t>
    <phoneticPr fontId="15" type="noConversion"/>
  </si>
  <si>
    <t>경제</t>
    <phoneticPr fontId="15" type="noConversion"/>
  </si>
  <si>
    <t>물리학</t>
    <phoneticPr fontId="15" type="noConversion"/>
  </si>
  <si>
    <t>화학</t>
    <phoneticPr fontId="15" type="noConversion"/>
  </si>
  <si>
    <t>생명과학</t>
    <phoneticPr fontId="15" type="noConversion"/>
  </si>
  <si>
    <t>지구과학</t>
    <phoneticPr fontId="15" type="noConversion"/>
  </si>
  <si>
    <t>기하</t>
    <phoneticPr fontId="15" type="noConversion"/>
  </si>
  <si>
    <t>법과 사회</t>
    <phoneticPr fontId="15" type="noConversion"/>
  </si>
  <si>
    <t>한국지리 탐구</t>
    <phoneticPr fontId="15" type="noConversion"/>
  </si>
  <si>
    <t>윤리와 사상</t>
    <phoneticPr fontId="15" type="noConversion"/>
  </si>
  <si>
    <t>동아시아 역사 기행</t>
    <phoneticPr fontId="15" type="noConversion"/>
  </si>
  <si>
    <t>과학과제 연구</t>
    <phoneticPr fontId="15" type="noConversion"/>
  </si>
  <si>
    <t>전자기와 양자</t>
    <phoneticPr fontId="15" type="noConversion"/>
  </si>
  <si>
    <t>물질과 에너지</t>
    <phoneticPr fontId="15" type="noConversion"/>
  </si>
  <si>
    <t>행성우주과학</t>
    <phoneticPr fontId="15" type="noConversion"/>
  </si>
  <si>
    <t>세포와 물질대사</t>
    <phoneticPr fontId="15" type="noConversion"/>
  </si>
  <si>
    <t>일본어</t>
    <phoneticPr fontId="15" type="noConversion"/>
  </si>
  <si>
    <t>중국어</t>
    <phoneticPr fontId="15" type="noConversion"/>
  </si>
  <si>
    <t>일본어 회화</t>
    <phoneticPr fontId="15" type="noConversion"/>
  </si>
  <si>
    <t>중국어 회화</t>
    <phoneticPr fontId="15" type="noConversion"/>
  </si>
  <si>
    <t>선택군a</t>
    <phoneticPr fontId="15" type="noConversion"/>
  </si>
  <si>
    <t>문학과 영상</t>
    <phoneticPr fontId="15" type="noConversion"/>
  </si>
  <si>
    <t>수학</t>
    <phoneticPr fontId="15" type="noConversion"/>
  </si>
  <si>
    <t>미적분Ⅱ</t>
    <phoneticPr fontId="15" type="noConversion"/>
  </si>
  <si>
    <t>경제 수학</t>
    <phoneticPr fontId="15" type="noConversion"/>
  </si>
  <si>
    <t>세계 문화와 영어</t>
    <phoneticPr fontId="15" type="noConversion"/>
  </si>
  <si>
    <t>정치</t>
    <phoneticPr fontId="15" type="noConversion"/>
  </si>
  <si>
    <t>국제 관계의 이해</t>
    <phoneticPr fontId="15" type="noConversion"/>
  </si>
  <si>
    <t>도시의 미래 탐구</t>
    <phoneticPr fontId="15" type="noConversion"/>
  </si>
  <si>
    <t>인문학과 윤리</t>
    <phoneticPr fontId="15" type="noConversion"/>
  </si>
  <si>
    <t>역사로 탐구하는 현대 세계</t>
    <phoneticPr fontId="15" type="noConversion"/>
  </si>
  <si>
    <t>역학과 에너지</t>
    <phoneticPr fontId="15" type="noConversion"/>
  </si>
  <si>
    <t>화학 반응의 세계</t>
    <phoneticPr fontId="15" type="noConversion"/>
  </si>
  <si>
    <t>지구시스템과학</t>
    <phoneticPr fontId="15" type="noConversion"/>
  </si>
  <si>
    <t>생물의 유전</t>
    <phoneticPr fontId="15" type="noConversion"/>
  </si>
  <si>
    <t>고급 화학</t>
    <phoneticPr fontId="15" type="noConversion"/>
  </si>
  <si>
    <t>고급 생명과학</t>
    <phoneticPr fontId="15" type="noConversion"/>
  </si>
  <si>
    <t>일본 문화</t>
    <phoneticPr fontId="15" type="noConversion"/>
  </si>
  <si>
    <t>중국 문화</t>
    <phoneticPr fontId="15" type="noConversion"/>
  </si>
  <si>
    <t>선택군b</t>
    <phoneticPr fontId="15" type="noConversion"/>
  </si>
  <si>
    <t>독서 토론과 글쓰기</t>
    <phoneticPr fontId="15" type="noConversion"/>
  </si>
  <si>
    <t>수학과제 탐구</t>
    <phoneticPr fontId="15" type="noConversion"/>
  </si>
  <si>
    <t>미디어 영어</t>
    <phoneticPr fontId="15" type="noConversion"/>
  </si>
  <si>
    <t>기후변화와 지속가능한 세계</t>
    <phoneticPr fontId="15" type="noConversion"/>
  </si>
  <si>
    <t>금융과 경제생활</t>
    <phoneticPr fontId="15" type="noConversion"/>
  </si>
  <si>
    <t>사회문제 탐구</t>
    <phoneticPr fontId="15" type="noConversion"/>
  </si>
  <si>
    <t>여행지리</t>
    <phoneticPr fontId="15" type="noConversion"/>
  </si>
  <si>
    <t>윤리문제 탐구</t>
    <phoneticPr fontId="15" type="noConversion"/>
  </si>
  <si>
    <t>기후변화와 환경생태</t>
    <phoneticPr fontId="15" type="noConversion"/>
  </si>
  <si>
    <t>융합과학 탐구</t>
    <phoneticPr fontId="15" type="noConversion"/>
  </si>
  <si>
    <t>심화 일본어</t>
    <phoneticPr fontId="15" type="noConversion"/>
  </si>
  <si>
    <t>심화 중국어</t>
    <phoneticPr fontId="15" type="noConversion"/>
  </si>
  <si>
    <t>선택군c</t>
    <phoneticPr fontId="15" type="noConversion"/>
  </si>
  <si>
    <t>음악 연주와 창작</t>
    <phoneticPr fontId="15" type="noConversion"/>
  </si>
  <si>
    <t>미술 창작</t>
    <phoneticPr fontId="15" type="noConversion"/>
  </si>
  <si>
    <t>선택군d</t>
    <phoneticPr fontId="15" type="noConversion"/>
  </si>
  <si>
    <t>생태와 환경</t>
    <phoneticPr fontId="15" type="noConversion"/>
  </si>
  <si>
    <t>보건</t>
    <phoneticPr fontId="15" type="noConversion"/>
  </si>
  <si>
    <t>논술</t>
    <phoneticPr fontId="15" type="noConversion"/>
  </si>
  <si>
    <t>교육의 이해</t>
    <phoneticPr fontId="15" type="noConversion"/>
  </si>
  <si>
    <t>학교 지정 과목 교과 편성 학점</t>
    <phoneticPr fontId="15" type="noConversion"/>
  </si>
  <si>
    <r>
      <t>창원여자고등학교</t>
    </r>
    <r>
      <rPr>
        <b/>
        <sz val="12"/>
        <color rgb="FFFF0000"/>
        <rFont val="Malgun Gothic"/>
        <family val="3"/>
        <charset val="129"/>
      </rPr>
      <t>(공립)</t>
    </r>
    <phoneticPr fontId="15" type="noConversion"/>
  </si>
  <si>
    <t>통합과학2</t>
    <phoneticPr fontId="15" type="noConversion"/>
  </si>
  <si>
    <t>과학탐구실험1</t>
    <phoneticPr fontId="15" type="noConversion"/>
  </si>
  <si>
    <r>
      <t>2027</t>
    </r>
    <r>
      <rPr>
        <sz val="16"/>
        <color theme="1"/>
        <rFont val="맑은 고딕"/>
        <family val="3"/>
        <charset val="129"/>
      </rPr>
      <t>학년도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맑은 고딕"/>
        <family val="3"/>
        <charset val="129"/>
      </rPr>
      <t>당해년도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맑은 고딕"/>
        <family val="3"/>
        <charset val="129"/>
      </rPr>
      <t>전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맑은 고딕"/>
        <family val="3"/>
        <charset val="129"/>
      </rPr>
      <t>학년</t>
    </r>
    <r>
      <rPr>
        <sz val="16"/>
        <color theme="1"/>
        <rFont val="Calibri"/>
        <family val="2"/>
        <scheme val="minor"/>
      </rPr>
      <t>(1, 2, 3</t>
    </r>
    <r>
      <rPr>
        <sz val="16"/>
        <color theme="1"/>
        <rFont val="맑은 고딕"/>
        <family val="3"/>
        <charset val="129"/>
      </rPr>
      <t>학년</t>
    </r>
    <r>
      <rPr>
        <sz val="16"/>
        <color theme="1"/>
        <rFont val="Calibri"/>
        <family val="2"/>
        <scheme val="minor"/>
      </rPr>
      <t xml:space="preserve">) </t>
    </r>
    <r>
      <rPr>
        <sz val="16"/>
        <color theme="1"/>
        <rFont val="맑은 고딕"/>
        <family val="3"/>
        <charset val="129"/>
      </rPr>
      <t>교육과정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맑은 고딕"/>
        <family val="3"/>
        <charset val="129"/>
      </rPr>
      <t>편성표</t>
    </r>
    <phoneticPr fontId="18" type="noConversion"/>
  </si>
  <si>
    <r>
      <t>2027</t>
    </r>
    <r>
      <rPr>
        <sz val="16"/>
        <color theme="1"/>
        <rFont val="맑은 고딕"/>
        <family val="3"/>
        <charset val="129"/>
      </rPr>
      <t>학년도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맑은 고딕"/>
        <family val="3"/>
        <charset val="129"/>
      </rPr>
      <t>입학생</t>
    </r>
    <r>
      <rPr>
        <sz val="16"/>
        <color theme="1"/>
        <rFont val="Calibri"/>
        <family val="2"/>
        <scheme val="minor"/>
      </rPr>
      <t xml:space="preserve"> 3</t>
    </r>
    <r>
      <rPr>
        <sz val="16"/>
        <color theme="1"/>
        <rFont val="맑은 고딕"/>
        <family val="3"/>
        <charset val="129"/>
      </rPr>
      <t>개년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맑은 고딕"/>
        <family val="3"/>
        <charset val="129"/>
      </rPr>
      <t>교육과정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맑은 고딕"/>
        <family val="3"/>
        <charset val="129"/>
      </rPr>
      <t>편성표</t>
    </r>
    <r>
      <rPr>
        <sz val="16"/>
        <color theme="1"/>
        <rFont val="Calibri"/>
        <family val="2"/>
        <scheme val="minor"/>
      </rPr>
      <t>(1</t>
    </r>
    <r>
      <rPr>
        <sz val="16"/>
        <color theme="1"/>
        <rFont val="맑은 고딕"/>
        <family val="3"/>
        <charset val="129"/>
      </rPr>
      <t>학년</t>
    </r>
    <r>
      <rPr>
        <sz val="16"/>
        <color theme="1"/>
        <rFont val="Calibri"/>
        <family val="2"/>
        <scheme val="minor"/>
      </rPr>
      <t>)</t>
    </r>
    <phoneticPr fontId="18" type="noConversion"/>
  </si>
  <si>
    <r>
      <t>2026</t>
    </r>
    <r>
      <rPr>
        <sz val="16"/>
        <color theme="1"/>
        <rFont val="맑은 고딕"/>
        <family val="3"/>
        <charset val="129"/>
      </rPr>
      <t>학년도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맑은 고딕"/>
        <family val="3"/>
        <charset val="129"/>
      </rPr>
      <t>입학생</t>
    </r>
    <r>
      <rPr>
        <sz val="16"/>
        <color theme="1"/>
        <rFont val="Calibri"/>
        <family val="2"/>
        <scheme val="minor"/>
      </rPr>
      <t xml:space="preserve"> 3</t>
    </r>
    <r>
      <rPr>
        <sz val="16"/>
        <color theme="1"/>
        <rFont val="맑은 고딕"/>
        <family val="3"/>
        <charset val="129"/>
      </rPr>
      <t>개년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맑은 고딕"/>
        <family val="3"/>
        <charset val="129"/>
      </rPr>
      <t>교육과정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맑은 고딕"/>
        <family val="3"/>
        <charset val="129"/>
      </rPr>
      <t>편성표</t>
    </r>
    <r>
      <rPr>
        <sz val="16"/>
        <color theme="1"/>
        <rFont val="Calibri"/>
        <family val="2"/>
        <scheme val="minor"/>
      </rPr>
      <t>(2</t>
    </r>
    <r>
      <rPr>
        <sz val="16"/>
        <color theme="1"/>
        <rFont val="맑은 고딕"/>
        <family val="3"/>
        <charset val="129"/>
      </rPr>
      <t>학년</t>
    </r>
    <r>
      <rPr>
        <sz val="16"/>
        <color theme="1"/>
        <rFont val="Calibri"/>
        <family val="2"/>
        <scheme val="minor"/>
      </rPr>
      <t>)</t>
    </r>
    <phoneticPr fontId="18" type="noConversion"/>
  </si>
  <si>
    <r>
      <t>2025</t>
    </r>
    <r>
      <rPr>
        <sz val="16"/>
        <color theme="1"/>
        <rFont val="맑은 고딕"/>
        <family val="3"/>
        <charset val="129"/>
      </rPr>
      <t>학년도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맑은 고딕"/>
        <family val="3"/>
        <charset val="129"/>
      </rPr>
      <t>입학생</t>
    </r>
    <r>
      <rPr>
        <sz val="16"/>
        <color theme="1"/>
        <rFont val="Calibri"/>
        <family val="2"/>
        <scheme val="minor"/>
      </rPr>
      <t xml:space="preserve"> 3</t>
    </r>
    <r>
      <rPr>
        <sz val="16"/>
        <color theme="1"/>
        <rFont val="맑은 고딕"/>
        <family val="3"/>
        <charset val="129"/>
      </rPr>
      <t>개년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맑은 고딕"/>
        <family val="3"/>
        <charset val="129"/>
      </rPr>
      <t>교육과정</t>
    </r>
    <r>
      <rPr>
        <sz val="16"/>
        <color theme="1"/>
        <rFont val="Calibri"/>
        <family val="2"/>
        <scheme val="minor"/>
      </rPr>
      <t xml:space="preserve"> </t>
    </r>
    <r>
      <rPr>
        <sz val="16"/>
        <color theme="1"/>
        <rFont val="맑은 고딕"/>
        <family val="3"/>
        <charset val="129"/>
      </rPr>
      <t>편성표(</t>
    </r>
    <r>
      <rPr>
        <sz val="16"/>
        <color theme="1"/>
        <rFont val="Calibri"/>
        <family val="2"/>
        <scheme val="minor"/>
      </rPr>
      <t>3</t>
    </r>
    <r>
      <rPr>
        <sz val="16"/>
        <color theme="1"/>
        <rFont val="맑은 고딕"/>
        <family val="3"/>
        <charset val="129"/>
      </rPr>
      <t>학년</t>
    </r>
    <r>
      <rPr>
        <sz val="16"/>
        <color theme="1"/>
        <rFont val="Calibri"/>
        <family val="2"/>
        <scheme val="minor"/>
      </rPr>
      <t>)</t>
    </r>
    <phoneticPr fontId="18" type="noConversion"/>
  </si>
  <si>
    <r>
      <rPr>
        <sz val="11"/>
        <rFont val="맑은 고딕"/>
        <family val="3"/>
        <charset val="129"/>
      </rPr>
      <t>선택군</t>
    </r>
    <r>
      <rPr>
        <sz val="11"/>
        <rFont val="Calibri"/>
        <family val="2"/>
      </rPr>
      <t>c</t>
    </r>
    <phoneticPr fontId="15" type="noConversion"/>
  </si>
  <si>
    <t>증배운영 과목</t>
    <phoneticPr fontId="15" type="noConversion"/>
  </si>
  <si>
    <r>
      <rPr>
        <sz val="11"/>
        <color rgb="FF0000FF"/>
        <rFont val="Malgun Gothic"/>
        <family val="3"/>
        <charset val="129"/>
      </rPr>
      <t>(소인수)</t>
    </r>
    <r>
      <rPr>
        <sz val="11"/>
        <color theme="1"/>
        <rFont val="Malgun Gothic"/>
        <family val="3"/>
        <charset val="129"/>
      </rPr>
      <t>한국 사회의 이해</t>
    </r>
    <phoneticPr fontId="15" type="noConversion"/>
  </si>
  <si>
    <r>
      <rPr>
        <sz val="11"/>
        <color rgb="FF0000FF"/>
        <rFont val="Malgun Gothic"/>
        <family val="3"/>
        <charset val="129"/>
      </rPr>
      <t>(소인수)</t>
    </r>
    <r>
      <rPr>
        <sz val="11"/>
        <color theme="1"/>
        <rFont val="Malgun Gothic"/>
        <family val="3"/>
        <charset val="129"/>
      </rPr>
      <t>현대 세계의 변화</t>
    </r>
    <phoneticPr fontId="15" type="noConversion"/>
  </si>
  <si>
    <r>
      <rPr>
        <sz val="11"/>
        <color rgb="FF0000FF"/>
        <rFont val="Malgun Gothic"/>
        <family val="3"/>
        <charset val="129"/>
      </rPr>
      <t>(증배)</t>
    </r>
    <r>
      <rPr>
        <sz val="11"/>
        <color theme="1"/>
        <rFont val="Malgun Gothic"/>
        <family val="3"/>
        <charset val="129"/>
      </rPr>
      <t>과학과제연구</t>
    </r>
    <phoneticPr fontId="15" type="noConversion"/>
  </si>
  <si>
    <r>
      <rPr>
        <sz val="11"/>
        <color rgb="FF0000FF"/>
        <rFont val="Malgun Gothic"/>
        <family val="3"/>
        <charset val="129"/>
      </rPr>
      <t>(공동)</t>
    </r>
    <r>
      <rPr>
        <sz val="11"/>
        <color theme="1"/>
        <rFont val="Malgun Gothic"/>
        <family val="3"/>
        <charset val="129"/>
      </rPr>
      <t>물리학 실험</t>
    </r>
    <phoneticPr fontId="15" type="noConversion"/>
  </si>
  <si>
    <r>
      <rPr>
        <sz val="11"/>
        <color rgb="FF0000FF"/>
        <rFont val="Malgun Gothic"/>
        <family val="3"/>
        <charset val="129"/>
      </rPr>
      <t>(공동)</t>
    </r>
    <r>
      <rPr>
        <sz val="11"/>
        <color theme="1"/>
        <rFont val="Malgun Gothic"/>
        <family val="3"/>
        <charset val="129"/>
      </rPr>
      <t>생명과학 실험</t>
    </r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</si>
</sst>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3">
    <font>
      <sz val="11"/>
      <color theme="1"/>
      <name val="Calibri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b/>
      <sz val="12"/>
      <color rgb="FF0000FF"/>
      <name val="Malgun Gothic"/>
      <family val="3"/>
      <charset val="129"/>
    </font>
    <font>
      <sz val="11"/>
      <name val="Calibri"/>
      <family val="2"/>
    </font>
    <font>
      <sz val="11"/>
      <color theme="1"/>
      <name val="Malgun Gothic"/>
      <family val="3"/>
      <charset val="129"/>
    </font>
    <font>
      <sz val="10"/>
      <color theme="1"/>
      <name val="Malgun Gothic"/>
      <family val="3"/>
      <charset val="129"/>
    </font>
    <font>
      <sz val="11"/>
      <color theme="1"/>
      <name val="Calibri"/>
      <family val="2"/>
      <scheme val="minor"/>
    </font>
    <font>
      <sz val="11"/>
      <color theme="1"/>
      <name val="맑은 고딕"/>
      <family val="3"/>
      <charset val="129"/>
    </font>
    <font>
      <sz val="11"/>
      <color theme="1"/>
      <name val="Calibri"/>
      <family val="2"/>
    </font>
    <font>
      <sz val="8"/>
      <name val="Calibri"/>
      <family val="3"/>
      <charset val="129"/>
      <scheme val="minor"/>
    </font>
    <font>
      <sz val="12"/>
      <color theme="1"/>
      <name val="Malgun Gothic"/>
      <family val="3"/>
      <charset val="129"/>
    </font>
    <font>
      <b/>
      <sz val="20"/>
      <color theme="1"/>
      <name val="Calibri"/>
      <family val="3"/>
      <charset val="129"/>
      <scheme val="minor"/>
    </font>
    <font>
      <sz val="8"/>
      <name val="Calibri"/>
      <family val="2"/>
      <charset val="129"/>
      <scheme val="minor"/>
    </font>
    <font>
      <sz val="10"/>
      <color theme="1"/>
      <name val="Calibri"/>
      <family val="2"/>
      <charset val="129"/>
      <scheme val="minor"/>
    </font>
    <font>
      <b/>
      <sz val="12"/>
      <color theme="1"/>
      <name val="Calibri"/>
      <family val="3"/>
      <charset val="129"/>
      <scheme val="minor"/>
    </font>
    <font>
      <sz val="10"/>
      <color theme="1"/>
      <name val="Calibri"/>
      <family val="3"/>
      <charset val="129"/>
      <scheme val="minor"/>
    </font>
    <font>
      <b/>
      <sz val="10"/>
      <color theme="1"/>
      <name val="Calibri"/>
      <family val="3"/>
      <charset val="129"/>
      <scheme val="minor"/>
    </font>
    <font>
      <sz val="10"/>
      <color rgb="FF000000"/>
      <name val="Calibri"/>
      <family val="3"/>
      <charset val="129"/>
      <scheme val="minor"/>
    </font>
    <font>
      <sz val="10"/>
      <name val="Calibri"/>
      <family val="3"/>
      <charset val="129"/>
      <scheme val="minor"/>
    </font>
    <font>
      <b/>
      <sz val="12"/>
      <color rgb="FFFF0000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0"/>
      <color theme="1"/>
      <name val="Calibri"/>
      <family val="2"/>
      <scheme val="minor"/>
    </font>
    <font>
      <b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20"/>
      <color theme="1"/>
      <name val="Calibri"/>
      <family val="2"/>
      <scheme val="minor"/>
    </font>
    <font>
      <b/>
      <sz val="20"/>
      <color theme="1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name val="맑은 고딕"/>
      <family val="3"/>
      <charset val="129"/>
    </font>
    <font>
      <b/>
      <sz val="12"/>
      <color rgb="FF0000FF"/>
      <name val="맑은 고딕"/>
      <family val="3"/>
      <charset val="129"/>
    </font>
    <font>
      <b/>
      <sz val="9"/>
      <color indexed="81"/>
      <name val="돋움"/>
      <family val="3"/>
      <charset val="129"/>
    </font>
    <font>
      <sz val="11"/>
      <color theme="1"/>
      <name val="맑은 고딕"/>
      <family val="2"/>
      <charset val="129"/>
    </font>
    <font>
      <sz val="16"/>
      <color theme="1"/>
      <name val="Calibri"/>
      <family val="3"/>
      <charset val="129"/>
      <scheme val="minor"/>
    </font>
    <font>
      <sz val="16"/>
      <color theme="1"/>
      <name val="Calibri"/>
      <family val="2"/>
      <scheme val="minor"/>
    </font>
    <font>
      <sz val="16"/>
      <color theme="1"/>
      <name val="맑은 고딕"/>
      <family val="3"/>
      <charset val="129"/>
    </font>
    <font>
      <sz val="11"/>
      <color theme="1"/>
      <name val="Malgun Gothic"/>
      <family val="2"/>
      <charset val="129"/>
    </font>
    <font>
      <sz val="11"/>
      <color theme="1"/>
      <name val="Malgun Gothic"/>
      <charset val="129"/>
    </font>
    <font>
      <sz val="11"/>
      <name val="맑은 고딕"/>
      <family val="2"/>
      <charset val="129"/>
    </font>
    <font>
      <sz val="11"/>
      <name val="Calibri"/>
      <family val="2"/>
      <charset val="129"/>
    </font>
    <font>
      <sz val="10"/>
      <color theme="1"/>
      <name val="맑은 고딕"/>
      <family val="2"/>
      <charset val="129"/>
    </font>
    <font>
      <b/>
      <sz val="12"/>
      <color rgb="FFFF0000"/>
      <name val="맑은 고딕"/>
      <family val="3"/>
      <charset val="129"/>
    </font>
    <font>
      <sz val="11"/>
      <color theme="1"/>
      <name val="Calibri"/>
      <family val="2"/>
      <scheme val="major"/>
    </font>
    <font>
      <sz val="11"/>
      <name val="Calibri"/>
      <family val="2"/>
      <scheme val="major"/>
    </font>
    <font>
      <sz val="11"/>
      <name val="맑은 고딕"/>
      <family val="3"/>
      <charset val="129"/>
    </font>
    <font>
      <sz val="11"/>
      <name val="Calibri"/>
      <family val="3"/>
      <charset val="129"/>
    </font>
    <font>
      <sz val="11"/>
      <color rgb="FF0000FF"/>
      <name val="Malgun Gothic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AEABAB"/>
        <bgColor rgb="FFAEABAB"/>
      </patternFill>
    </fill>
    <fill>
      <patternFill patternType="solid">
        <fgColor rgb="FFFFFF00"/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rgb="FF92D050"/>
        <bgColor rgb="FFFFFF00"/>
      </patternFill>
    </fill>
    <fill>
      <patternFill patternType="solid">
        <fgColor theme="2" tint="-0.24994659260841701"/>
        <bgColor indexed="64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5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</borders>
  <cellStyleXfs count="9">
    <xf numFmtId="0" fontId="0" fillId="0" borderId="0"/>
    <xf numFmtId="0" fontId="12" fillId="0" borderId="11"/>
    <xf numFmtId="0" fontId="7" fillId="0" borderId="11">
      <alignment vertical="center"/>
    </xf>
    <xf numFmtId="0" fontId="12" fillId="0" borderId="11"/>
    <xf numFmtId="0" fontId="6" fillId="0" borderId="11">
      <alignment vertical="center"/>
    </xf>
    <xf numFmtId="0" fontId="5" fillId="0" borderId="11">
      <alignment vertical="center"/>
    </xf>
    <xf numFmtId="0" fontId="4" fillId="0" borderId="11">
      <alignment vertical="center"/>
    </xf>
    <xf numFmtId="0" fontId="3" fillId="0" borderId="11">
      <alignment vertical="center"/>
    </xf>
    <xf numFmtId="0" fontId="3" fillId="0" borderId="11">
      <alignment vertical="center"/>
    </xf>
  </cellStyleXfs>
  <cellXfs count="211">
    <xf numFmtId="0" fontId="0" fillId="0" borderId="0" xfId="0" applyAlignment="1">
      <alignment vertical="center"/>
    </xf>
    <xf numFmtId="0" fontId="10" fillId="2" borderId="7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7" fillId="0" borderId="11" xfId="2" applyFont="1" applyAlignment="1">
      <alignment horizontal="center" vertical="center"/>
    </xf>
    <xf numFmtId="0" fontId="19" fillId="0" borderId="11" xfId="2" applyFont="1" applyAlignment="1">
      <alignment horizontal="center" vertical="center"/>
    </xf>
    <xf numFmtId="0" fontId="20" fillId="0" borderId="11" xfId="2" applyFont="1" applyAlignment="1">
      <alignment horizontal="center" vertical="center"/>
    </xf>
    <xf numFmtId="0" fontId="21" fillId="0" borderId="11" xfId="2" applyFont="1" applyAlignment="1">
      <alignment horizontal="center" vertical="center" shrinkToFit="1"/>
    </xf>
    <xf numFmtId="0" fontId="19" fillId="0" borderId="11" xfId="2" applyFont="1" applyAlignment="1">
      <alignment horizontal="left" vertical="center" wrapText="1" shrinkToFit="1"/>
    </xf>
    <xf numFmtId="0" fontId="22" fillId="5" borderId="14" xfId="2" applyFont="1" applyFill="1" applyBorder="1" applyAlignment="1">
      <alignment horizontal="center" vertical="center" shrinkToFit="1"/>
    </xf>
    <xf numFmtId="0" fontId="22" fillId="5" borderId="14" xfId="2" applyFont="1" applyFill="1" applyBorder="1" applyAlignment="1">
      <alignment horizontal="center" vertical="center"/>
    </xf>
    <xf numFmtId="0" fontId="22" fillId="5" borderId="14" xfId="2" applyFont="1" applyFill="1" applyBorder="1" applyAlignment="1">
      <alignment horizontal="center" vertical="center" wrapText="1" shrinkToFit="1"/>
    </xf>
    <xf numFmtId="0" fontId="19" fillId="0" borderId="14" xfId="2" applyFont="1" applyBorder="1" applyAlignment="1">
      <alignment horizontal="center" vertical="center"/>
    </xf>
    <xf numFmtId="0" fontId="23" fillId="0" borderId="14" xfId="2" applyFont="1" applyBorder="1" applyAlignment="1">
      <alignment horizontal="center" vertical="center" shrinkToFit="1"/>
    </xf>
    <xf numFmtId="0" fontId="19" fillId="0" borderId="14" xfId="2" applyFont="1" applyBorder="1" applyAlignment="1">
      <alignment horizontal="center" vertical="center" shrinkToFit="1"/>
    </xf>
    <xf numFmtId="0" fontId="21" fillId="0" borderId="14" xfId="2" applyFont="1" applyBorder="1" applyAlignment="1">
      <alignment horizontal="center" vertical="center" shrinkToFit="1"/>
    </xf>
    <xf numFmtId="0" fontId="24" fillId="0" borderId="14" xfId="2" applyFont="1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10" fillId="2" borderId="17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31" fillId="0" borderId="14" xfId="2" applyFont="1" applyBorder="1" applyAlignment="1">
      <alignment horizontal="center" vertical="center" shrinkToFit="1"/>
    </xf>
    <xf numFmtId="0" fontId="31" fillId="0" borderId="14" xfId="2" applyFont="1" applyBorder="1" applyAlignment="1">
      <alignment horizontal="center" vertical="center"/>
    </xf>
    <xf numFmtId="0" fontId="31" fillId="0" borderId="14" xfId="2" applyFont="1" applyBorder="1" applyAlignment="1">
      <alignment horizontal="left" vertical="center" wrapText="1" shrinkToFit="1"/>
    </xf>
    <xf numFmtId="0" fontId="34" fillId="0" borderId="14" xfId="2" applyFont="1" applyBorder="1" applyAlignment="1">
      <alignment horizontal="center" vertical="center" shrinkToFit="1"/>
    </xf>
    <xf numFmtId="0" fontId="31" fillId="0" borderId="14" xfId="2" applyFont="1" applyBorder="1" applyAlignment="1">
      <alignment horizontal="left" vertical="center" shrinkToFit="1"/>
    </xf>
    <xf numFmtId="0" fontId="35" fillId="0" borderId="14" xfId="2" applyFont="1" applyBorder="1" applyAlignment="1">
      <alignment horizontal="center" vertical="center" shrinkToFit="1"/>
    </xf>
    <xf numFmtId="0" fontId="34" fillId="0" borderId="14" xfId="0" applyFont="1" applyBorder="1" applyAlignment="1">
      <alignment horizontal="center" vertical="center" shrinkToFit="1"/>
    </xf>
    <xf numFmtId="0" fontId="5" fillId="0" borderId="11" xfId="5">
      <alignment vertical="center"/>
    </xf>
    <xf numFmtId="0" fontId="4" fillId="0" borderId="11" xfId="6">
      <alignment vertical="center"/>
    </xf>
    <xf numFmtId="0" fontId="31" fillId="0" borderId="11" xfId="2" applyFont="1" applyAlignment="1">
      <alignment horizontal="center" vertical="center" shrinkToFit="1"/>
    </xf>
    <xf numFmtId="0" fontId="43" fillId="0" borderId="0" xfId="0" applyFont="1" applyAlignment="1">
      <alignment vertical="center"/>
    </xf>
    <xf numFmtId="0" fontId="13" fillId="0" borderId="14" xfId="5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 shrinkToFit="1"/>
    </xf>
    <xf numFmtId="0" fontId="10" fillId="3" borderId="18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44" fillId="0" borderId="14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0" fillId="3" borderId="14" xfId="0" applyFont="1" applyFill="1" applyBorder="1" applyAlignment="1">
      <alignment horizontal="center" vertical="center" wrapText="1"/>
    </xf>
    <xf numFmtId="0" fontId="10" fillId="10" borderId="14" xfId="0" applyFont="1" applyFill="1" applyBorder="1" applyAlignment="1">
      <alignment horizontal="center" vertical="center" wrapText="1"/>
    </xf>
    <xf numFmtId="0" fontId="10" fillId="11" borderId="28" xfId="0" applyFont="1" applyFill="1" applyBorder="1" applyAlignment="1">
      <alignment horizontal="center" vertical="center" wrapText="1"/>
    </xf>
    <xf numFmtId="0" fontId="13" fillId="0" borderId="14" xfId="5" applyFont="1" applyBorder="1" applyAlignment="1">
      <alignment horizontal="center" vertical="center" wrapText="1" shrinkToFit="1"/>
    </xf>
    <xf numFmtId="0" fontId="10" fillId="0" borderId="36" xfId="0" applyFont="1" applyBorder="1" applyAlignment="1">
      <alignment horizontal="center" vertical="center" shrinkToFit="1"/>
    </xf>
    <xf numFmtId="0" fontId="10" fillId="3" borderId="37" xfId="0" applyFont="1" applyFill="1" applyBorder="1" applyAlignment="1">
      <alignment horizontal="center" vertical="center" shrinkToFit="1"/>
    </xf>
    <xf numFmtId="0" fontId="10" fillId="3" borderId="36" xfId="0" applyFont="1" applyFill="1" applyBorder="1" applyAlignment="1">
      <alignment horizontal="center" vertical="center" shrinkToFit="1"/>
    </xf>
    <xf numFmtId="0" fontId="10" fillId="10" borderId="36" xfId="0" applyFont="1" applyFill="1" applyBorder="1" applyAlignment="1">
      <alignment horizontal="center" vertical="center" shrinkToFit="1"/>
    </xf>
    <xf numFmtId="0" fontId="10" fillId="0" borderId="14" xfId="0" applyFont="1" applyBorder="1" applyAlignment="1">
      <alignment horizontal="center" vertical="center" shrinkToFit="1"/>
    </xf>
    <xf numFmtId="0" fontId="10" fillId="0" borderId="14" xfId="0" applyFont="1" applyBorder="1" applyAlignment="1">
      <alignment horizontal="center" vertical="center"/>
    </xf>
    <xf numFmtId="0" fontId="19" fillId="0" borderId="11" xfId="2" applyFont="1" applyAlignment="1">
      <alignment horizontal="left" vertical="center"/>
    </xf>
    <xf numFmtId="0" fontId="10" fillId="11" borderId="30" xfId="0" applyFont="1" applyFill="1" applyBorder="1" applyAlignment="1">
      <alignment horizontal="center" vertical="center" shrinkToFit="1"/>
    </xf>
    <xf numFmtId="0" fontId="10" fillId="12" borderId="14" xfId="0" applyFont="1" applyFill="1" applyBorder="1" applyAlignment="1">
      <alignment horizontal="center" vertical="center" wrapText="1"/>
    </xf>
    <xf numFmtId="0" fontId="46" fillId="0" borderId="11" xfId="2" applyFont="1" applyAlignment="1">
      <alignment horizontal="center" vertical="center"/>
    </xf>
    <xf numFmtId="0" fontId="31" fillId="0" borderId="11" xfId="2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2" borderId="14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 shrinkToFit="1"/>
    </xf>
    <xf numFmtId="0" fontId="44" fillId="0" borderId="14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 shrinkToFit="1"/>
    </xf>
    <xf numFmtId="0" fontId="10" fillId="10" borderId="14" xfId="0" applyFont="1" applyFill="1" applyBorder="1" applyAlignment="1">
      <alignment horizontal="center" vertical="center" shrinkToFit="1"/>
    </xf>
    <xf numFmtId="0" fontId="10" fillId="11" borderId="14" xfId="0" applyFont="1" applyFill="1" applyBorder="1" applyAlignment="1">
      <alignment horizontal="center" vertical="center" wrapText="1"/>
    </xf>
    <xf numFmtId="0" fontId="10" fillId="11" borderId="14" xfId="0" applyFont="1" applyFill="1" applyBorder="1" applyAlignment="1">
      <alignment horizontal="center" vertical="center" shrinkToFit="1"/>
    </xf>
    <xf numFmtId="0" fontId="10" fillId="0" borderId="25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0" fillId="0" borderId="25" xfId="0" applyBorder="1" applyAlignment="1">
      <alignment vertical="center"/>
    </xf>
    <xf numFmtId="0" fontId="10" fillId="0" borderId="22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19" xfId="0" applyFont="1" applyBorder="1" applyAlignment="1">
      <alignment vertical="center"/>
    </xf>
    <xf numFmtId="0" fontId="48" fillId="0" borderId="14" xfId="0" applyFont="1" applyBorder="1" applyAlignment="1">
      <alignment horizontal="center" vertical="center" wrapText="1"/>
    </xf>
    <xf numFmtId="0" fontId="49" fillId="0" borderId="14" xfId="0" applyFont="1" applyBorder="1" applyAlignment="1">
      <alignment horizontal="center" vertical="center" wrapText="1" shrinkToFit="1"/>
    </xf>
    <xf numFmtId="0" fontId="48" fillId="0" borderId="14" xfId="0" applyFont="1" applyBorder="1" applyAlignment="1">
      <alignment horizontal="center" vertical="center" wrapText="1" shrinkToFit="1"/>
    </xf>
    <xf numFmtId="0" fontId="10" fillId="12" borderId="14" xfId="0" applyFont="1" applyFill="1" applyBorder="1" applyAlignment="1">
      <alignment horizontal="center" vertical="center" shrinkToFit="1"/>
    </xf>
    <xf numFmtId="0" fontId="11" fillId="0" borderId="14" xfId="0" applyFont="1" applyBorder="1" applyAlignment="1">
      <alignment horizontal="center" vertical="center" shrinkToFit="1"/>
    </xf>
    <xf numFmtId="0" fontId="10" fillId="0" borderId="19" xfId="0" applyFont="1" applyBorder="1" applyAlignment="1">
      <alignment horizontal="center" vertical="center" wrapText="1" shrinkToFit="1"/>
    </xf>
    <xf numFmtId="0" fontId="10" fillId="0" borderId="22" xfId="0" applyFont="1" applyBorder="1" applyAlignment="1">
      <alignment horizontal="center" vertical="center" wrapText="1" shrinkToFit="1"/>
    </xf>
    <xf numFmtId="0" fontId="10" fillId="0" borderId="49" xfId="0" applyFont="1" applyBorder="1" applyAlignment="1">
      <alignment horizontal="center" vertical="center" shrinkToFit="1"/>
    </xf>
    <xf numFmtId="0" fontId="10" fillId="0" borderId="50" xfId="0" applyFont="1" applyBorder="1" applyAlignment="1">
      <alignment horizontal="center" vertical="center" shrinkToFit="1"/>
    </xf>
    <xf numFmtId="0" fontId="4" fillId="9" borderId="14" xfId="6" applyFill="1" applyBorder="1" applyAlignment="1">
      <alignment horizontal="center" vertical="center"/>
    </xf>
    <xf numFmtId="0" fontId="48" fillId="0" borderId="14" xfId="5" applyFont="1" applyBorder="1" applyAlignment="1">
      <alignment horizontal="center" vertical="center"/>
    </xf>
    <xf numFmtId="0" fontId="5" fillId="6" borderId="14" xfId="5" applyFill="1" applyBorder="1" applyAlignment="1">
      <alignment horizontal="center" vertical="center"/>
    </xf>
    <xf numFmtId="0" fontId="5" fillId="6" borderId="52" xfId="5" applyFill="1" applyBorder="1" applyAlignment="1">
      <alignment horizontal="center" vertical="center"/>
    </xf>
    <xf numFmtId="0" fontId="48" fillId="6" borderId="52" xfId="5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5" fillId="13" borderId="52" xfId="5" applyFill="1" applyBorder="1" applyAlignment="1">
      <alignment horizontal="center" vertical="center"/>
    </xf>
    <xf numFmtId="0" fontId="5" fillId="13" borderId="14" xfId="5" applyFill="1" applyBorder="1" applyAlignment="1">
      <alignment horizontal="center" vertical="center"/>
    </xf>
    <xf numFmtId="0" fontId="5" fillId="14" borderId="52" xfId="5" applyFill="1" applyBorder="1" applyAlignment="1">
      <alignment horizontal="center" vertical="center"/>
    </xf>
    <xf numFmtId="0" fontId="5" fillId="14" borderId="14" xfId="5" applyFill="1" applyBorder="1" applyAlignment="1">
      <alignment horizontal="center" vertical="center"/>
    </xf>
    <xf numFmtId="0" fontId="10" fillId="0" borderId="14" xfId="0" applyFont="1" applyBorder="1" applyAlignment="1">
      <alignment horizontal="center" vertical="center" wrapText="1" shrinkToFit="1"/>
    </xf>
    <xf numFmtId="0" fontId="44" fillId="0" borderId="14" xfId="0" applyFont="1" applyBorder="1" applyAlignment="1">
      <alignment horizontal="center" vertical="center" wrapText="1"/>
    </xf>
    <xf numFmtId="0" fontId="45" fillId="0" borderId="14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shrinkToFit="1"/>
    </xf>
    <xf numFmtId="0" fontId="10" fillId="0" borderId="14" xfId="0" applyFont="1" applyBorder="1" applyAlignment="1">
      <alignment horizontal="center" vertical="center" wrapText="1"/>
    </xf>
    <xf numFmtId="0" fontId="2" fillId="6" borderId="14" xfId="5" applyFont="1" applyFill="1" applyBorder="1" applyAlignment="1">
      <alignment horizontal="center" vertical="center"/>
    </xf>
    <xf numFmtId="0" fontId="5" fillId="6" borderId="14" xfId="5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7" borderId="14" xfId="0" applyFont="1" applyFill="1" applyBorder="1" applyAlignment="1">
      <alignment horizontal="center" vertical="center"/>
    </xf>
    <xf numFmtId="0" fontId="10" fillId="7" borderId="14" xfId="0" applyFont="1" applyFill="1" applyBorder="1" applyAlignment="1">
      <alignment horizontal="center" vertical="center" wrapText="1"/>
    </xf>
    <xf numFmtId="0" fontId="51" fillId="0" borderId="14" xfId="0" applyFont="1" applyBorder="1" applyAlignment="1">
      <alignment horizontal="center" vertical="center" wrapText="1"/>
    </xf>
    <xf numFmtId="0" fontId="44" fillId="0" borderId="14" xfId="0" applyFont="1" applyBorder="1" applyAlignment="1">
      <alignment horizontal="center" vertical="center" wrapText="1" shrinkToFit="1"/>
    </xf>
    <xf numFmtId="0" fontId="39" fillId="0" borderId="0" xfId="0" applyFont="1" applyAlignment="1">
      <alignment horizontal="center" vertical="center"/>
    </xf>
    <xf numFmtId="0" fontId="13" fillId="9" borderId="14" xfId="6" applyFont="1" applyFill="1" applyBorder="1" applyAlignment="1">
      <alignment horizontal="center" vertical="center" wrapText="1"/>
    </xf>
    <xf numFmtId="0" fontId="4" fillId="9" borderId="14" xfId="6" applyFill="1" applyBorder="1" applyAlignment="1">
      <alignment horizontal="center" vertical="center" wrapText="1"/>
    </xf>
    <xf numFmtId="0" fontId="4" fillId="9" borderId="14" xfId="6" applyFill="1" applyBorder="1" applyAlignment="1">
      <alignment horizontal="center" vertical="center"/>
    </xf>
    <xf numFmtId="0" fontId="20" fillId="0" borderId="11" xfId="5" applyFont="1" applyAlignment="1">
      <alignment horizontal="right" vertical="center"/>
    </xf>
    <xf numFmtId="0" fontId="10" fillId="10" borderId="35" xfId="0" applyFont="1" applyFill="1" applyBorder="1" applyAlignment="1">
      <alignment horizontal="center" vertical="center" wrapText="1"/>
    </xf>
    <xf numFmtId="0" fontId="10" fillId="10" borderId="38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0" fontId="10" fillId="11" borderId="35" xfId="0" applyFont="1" applyFill="1" applyBorder="1" applyAlignment="1">
      <alignment horizontal="center" vertical="center" wrapText="1"/>
    </xf>
    <xf numFmtId="0" fontId="10" fillId="11" borderId="38" xfId="0" applyFont="1" applyFill="1" applyBorder="1" applyAlignment="1">
      <alignment horizontal="center" vertical="center" wrapText="1"/>
    </xf>
    <xf numFmtId="0" fontId="10" fillId="11" borderId="39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/>
    </xf>
    <xf numFmtId="0" fontId="9" fillId="0" borderId="14" xfId="0" applyFont="1" applyBorder="1" applyAlignment="1">
      <alignment vertical="center"/>
    </xf>
    <xf numFmtId="0" fontId="10" fillId="0" borderId="22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0" fillId="3" borderId="35" xfId="0" applyFont="1" applyFill="1" applyBorder="1" applyAlignment="1">
      <alignment horizontal="center" vertical="center" wrapText="1"/>
    </xf>
    <xf numFmtId="0" fontId="10" fillId="3" borderId="39" xfId="0" applyFont="1" applyFill="1" applyBorder="1" applyAlignment="1">
      <alignment horizontal="center" vertical="center" wrapText="1"/>
    </xf>
    <xf numFmtId="0" fontId="44" fillId="0" borderId="22" xfId="0" applyFont="1" applyBorder="1" applyAlignment="1">
      <alignment horizontal="center" vertical="center"/>
    </xf>
    <xf numFmtId="0" fontId="44" fillId="0" borderId="25" xfId="0" applyFont="1" applyBorder="1" applyAlignment="1">
      <alignment horizontal="center" vertical="center"/>
    </xf>
    <xf numFmtId="0" fontId="44" fillId="0" borderId="19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3" borderId="38" xfId="0" applyFont="1" applyFill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shrinkToFit="1"/>
    </xf>
    <xf numFmtId="0" fontId="10" fillId="0" borderId="19" xfId="0" applyFont="1" applyBorder="1" applyAlignment="1">
      <alignment horizontal="center" vertical="center" shrinkToFit="1"/>
    </xf>
    <xf numFmtId="0" fontId="44" fillId="0" borderId="14" xfId="0" applyFont="1" applyBorder="1" applyAlignment="1">
      <alignment horizontal="center" vertical="center"/>
    </xf>
    <xf numFmtId="0" fontId="11" fillId="0" borderId="14" xfId="0" applyFont="1" applyBorder="1" applyAlignment="1">
      <alignment vertical="center"/>
    </xf>
    <xf numFmtId="0" fontId="14" fillId="0" borderId="14" xfId="0" applyFont="1" applyBorder="1" applyAlignment="1">
      <alignment vertical="center"/>
    </xf>
    <xf numFmtId="0" fontId="9" fillId="0" borderId="14" xfId="0" applyFont="1" applyBorder="1" applyAlignment="1">
      <alignment vertical="center" shrinkToFit="1"/>
    </xf>
    <xf numFmtId="0" fontId="39" fillId="0" borderId="11" xfId="5" applyFont="1" applyAlignment="1">
      <alignment horizontal="center" vertical="center"/>
    </xf>
    <xf numFmtId="0" fontId="5" fillId="0" borderId="11" xfId="5" applyAlignment="1">
      <alignment horizontal="center" vertical="center"/>
    </xf>
    <xf numFmtId="0" fontId="8" fillId="0" borderId="11" xfId="0" applyFont="1" applyBorder="1" applyAlignment="1">
      <alignment horizontal="right" vertical="center"/>
    </xf>
    <xf numFmtId="0" fontId="9" fillId="0" borderId="11" xfId="0" applyFont="1" applyBorder="1" applyAlignment="1">
      <alignment vertical="center"/>
    </xf>
    <xf numFmtId="0" fontId="10" fillId="2" borderId="14" xfId="0" applyFont="1" applyFill="1" applyBorder="1" applyAlignment="1">
      <alignment horizontal="center" vertical="center" shrinkToFit="1"/>
    </xf>
    <xf numFmtId="0" fontId="10" fillId="2" borderId="14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vertical="center" shrinkToFit="1"/>
    </xf>
    <xf numFmtId="0" fontId="10" fillId="11" borderId="29" xfId="0" applyFont="1" applyFill="1" applyBorder="1" applyAlignment="1">
      <alignment horizontal="center" vertical="center" wrapText="1"/>
    </xf>
    <xf numFmtId="0" fontId="10" fillId="11" borderId="46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vertical="center"/>
    </xf>
    <xf numFmtId="0" fontId="10" fillId="2" borderId="2" xfId="0" applyFont="1" applyFill="1" applyBorder="1" applyAlignment="1">
      <alignment horizontal="center" vertical="center"/>
    </xf>
    <xf numFmtId="0" fontId="9" fillId="0" borderId="6" xfId="0" applyFont="1" applyBorder="1" applyAlignment="1">
      <alignment vertical="center"/>
    </xf>
    <xf numFmtId="0" fontId="10" fillId="2" borderId="2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9" fillId="0" borderId="9" xfId="0" applyFont="1" applyBorder="1" applyAlignment="1">
      <alignment vertical="center"/>
    </xf>
    <xf numFmtId="0" fontId="10" fillId="2" borderId="8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vertical="center"/>
    </xf>
    <xf numFmtId="0" fontId="10" fillId="2" borderId="3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/>
    </xf>
    <xf numFmtId="0" fontId="9" fillId="0" borderId="16" xfId="0" applyFont="1" applyBorder="1" applyAlignment="1">
      <alignment vertical="center"/>
    </xf>
    <xf numFmtId="0" fontId="10" fillId="2" borderId="10" xfId="0" applyFont="1" applyFill="1" applyBorder="1" applyAlignment="1">
      <alignment horizontal="center" vertical="center" shrinkToFit="1"/>
    </xf>
    <xf numFmtId="0" fontId="9" fillId="0" borderId="12" xfId="0" applyFont="1" applyBorder="1" applyAlignment="1">
      <alignment vertical="center" shrinkToFit="1"/>
    </xf>
    <xf numFmtId="0" fontId="10" fillId="0" borderId="34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44" fillId="0" borderId="22" xfId="0" applyFont="1" applyBorder="1" applyAlignment="1">
      <alignment horizontal="center" vertical="center" wrapText="1"/>
    </xf>
    <xf numFmtId="0" fontId="44" fillId="0" borderId="25" xfId="0" applyFont="1" applyBorder="1" applyAlignment="1">
      <alignment horizontal="center" vertical="center" wrapText="1"/>
    </xf>
    <xf numFmtId="0" fontId="44" fillId="0" borderId="19" xfId="0" applyFont="1" applyBorder="1" applyAlignment="1">
      <alignment horizontal="center" vertical="center" wrapText="1"/>
    </xf>
    <xf numFmtId="0" fontId="10" fillId="0" borderId="44" xfId="0" applyFont="1" applyBorder="1" applyAlignment="1">
      <alignment horizontal="center" vertical="center" wrapText="1"/>
    </xf>
    <xf numFmtId="0" fontId="10" fillId="0" borderId="45" xfId="0" applyFont="1" applyBorder="1" applyAlignment="1">
      <alignment horizontal="center" vertical="center" wrapText="1" shrinkToFit="1"/>
    </xf>
    <xf numFmtId="0" fontId="10" fillId="0" borderId="25" xfId="0" applyFont="1" applyBorder="1" applyAlignment="1">
      <alignment horizontal="center" vertical="center" wrapText="1" shrinkToFit="1"/>
    </xf>
    <xf numFmtId="0" fontId="10" fillId="0" borderId="19" xfId="0" applyFont="1" applyBorder="1" applyAlignment="1">
      <alignment horizontal="center" vertical="center" wrapText="1" shrinkToFit="1"/>
    </xf>
    <xf numFmtId="0" fontId="10" fillId="0" borderId="22" xfId="0" applyFont="1" applyBorder="1" applyAlignment="1">
      <alignment horizontal="center" vertical="center" wrapText="1" shrinkToFit="1"/>
    </xf>
    <xf numFmtId="0" fontId="44" fillId="0" borderId="22" xfId="0" applyFont="1" applyBorder="1" applyAlignment="1">
      <alignment horizontal="center" vertical="center" wrapText="1" shrinkToFit="1"/>
    </xf>
    <xf numFmtId="0" fontId="44" fillId="0" borderId="25" xfId="0" applyFont="1" applyBorder="1" applyAlignment="1">
      <alignment horizontal="center" vertical="center" wrapText="1" shrinkToFit="1"/>
    </xf>
    <xf numFmtId="0" fontId="44" fillId="0" borderId="19" xfId="0" applyFont="1" applyBorder="1" applyAlignment="1">
      <alignment horizontal="center" vertical="center" wrapText="1" shrinkToFit="1"/>
    </xf>
    <xf numFmtId="0" fontId="45" fillId="0" borderId="34" xfId="0" applyFont="1" applyBorder="1" applyAlignment="1">
      <alignment horizontal="center" vertical="center" wrapText="1"/>
    </xf>
    <xf numFmtId="0" fontId="45" fillId="0" borderId="31" xfId="0" applyFont="1" applyBorder="1" applyAlignment="1">
      <alignment horizontal="center" vertical="center" wrapText="1"/>
    </xf>
    <xf numFmtId="0" fontId="45" fillId="0" borderId="33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40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10" fillId="0" borderId="41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 shrinkToFit="1"/>
    </xf>
    <xf numFmtId="0" fontId="10" fillId="0" borderId="23" xfId="0" applyFont="1" applyBorder="1" applyAlignment="1">
      <alignment horizontal="center" vertical="center" wrapText="1" shrinkToFit="1"/>
    </xf>
    <xf numFmtId="0" fontId="10" fillId="0" borderId="43" xfId="0" applyFont="1" applyBorder="1" applyAlignment="1">
      <alignment horizontal="center" vertical="center" wrapText="1" shrinkToFit="1"/>
    </xf>
    <xf numFmtId="0" fontId="10" fillId="0" borderId="42" xfId="0" applyFont="1" applyBorder="1" applyAlignment="1">
      <alignment horizontal="center" vertical="center" wrapText="1" shrinkToFit="1"/>
    </xf>
    <xf numFmtId="0" fontId="10" fillId="3" borderId="47" xfId="0" applyFont="1" applyFill="1" applyBorder="1" applyAlignment="1">
      <alignment horizontal="center" vertical="center" wrapText="1"/>
    </xf>
    <xf numFmtId="0" fontId="10" fillId="3" borderId="48" xfId="0" applyFont="1" applyFill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 shrinkToFit="1"/>
    </xf>
    <xf numFmtId="0" fontId="10" fillId="0" borderId="20" xfId="0" applyFont="1" applyBorder="1" applyAlignment="1">
      <alignment horizontal="center" vertical="center" wrapText="1" shrinkToFit="1"/>
    </xf>
    <xf numFmtId="0" fontId="10" fillId="0" borderId="27" xfId="0" applyFont="1" applyBorder="1" applyAlignment="1">
      <alignment horizontal="center" vertical="center" wrapText="1" shrinkToFit="1"/>
    </xf>
    <xf numFmtId="0" fontId="10" fillId="0" borderId="40" xfId="0" applyFont="1" applyBorder="1" applyAlignment="1">
      <alignment horizontal="center" vertical="center" wrapText="1" shrinkToFit="1"/>
    </xf>
    <xf numFmtId="0" fontId="9" fillId="0" borderId="24" xfId="0" applyFont="1" applyBorder="1" applyAlignment="1">
      <alignment horizontal="center" vertical="center" wrapText="1" shrinkToFit="1"/>
    </xf>
    <xf numFmtId="0" fontId="9" fillId="0" borderId="23" xfId="0" applyFont="1" applyBorder="1" applyAlignment="1">
      <alignment horizontal="center" vertical="center" wrapText="1" shrinkToFit="1"/>
    </xf>
    <xf numFmtId="0" fontId="9" fillId="0" borderId="21" xfId="0" applyFont="1" applyBorder="1" applyAlignment="1">
      <alignment horizontal="center" vertical="center" wrapText="1" shrinkToFit="1"/>
    </xf>
    <xf numFmtId="0" fontId="9" fillId="0" borderId="20" xfId="0" applyFont="1" applyBorder="1" applyAlignment="1">
      <alignment horizontal="center" vertical="center" wrapText="1" shrinkToFit="1"/>
    </xf>
    <xf numFmtId="0" fontId="9" fillId="0" borderId="27" xfId="0" applyFont="1" applyBorder="1" applyAlignment="1">
      <alignment horizontal="center" vertical="center" wrapText="1" shrinkToFit="1"/>
    </xf>
    <xf numFmtId="0" fontId="9" fillId="0" borderId="40" xfId="0" applyFont="1" applyBorder="1" applyAlignment="1">
      <alignment horizontal="center" vertical="center" wrapText="1" shrinkToFit="1"/>
    </xf>
    <xf numFmtId="0" fontId="10" fillId="3" borderId="51" xfId="0" applyFont="1" applyFill="1" applyBorder="1" applyAlignment="1">
      <alignment horizontal="center" vertical="center"/>
    </xf>
    <xf numFmtId="0" fontId="9" fillId="0" borderId="18" xfId="0" applyFont="1" applyBorder="1" applyAlignment="1">
      <alignment vertical="center"/>
    </xf>
    <xf numFmtId="0" fontId="17" fillId="4" borderId="11" xfId="2" applyFont="1" applyFill="1" applyAlignment="1">
      <alignment horizontal="center" vertical="center"/>
    </xf>
    <xf numFmtId="0" fontId="36" fillId="0" borderId="11" xfId="2" applyFont="1" applyAlignment="1">
      <alignment horizontal="left" vertical="center" wrapText="1"/>
    </xf>
    <xf numFmtId="0" fontId="36" fillId="0" borderId="11" xfId="2" applyFont="1" applyAlignment="1">
      <alignment horizontal="left" vertical="center"/>
    </xf>
  </cellXfs>
  <cellStyles count="9">
    <cellStyle name="표준" xfId="0" builtinId="0"/>
    <cellStyle name="표준 2" xfId="1" xr:uid="{00000000-0005-0000-0000-000001000000}"/>
    <cellStyle name="표준 3" xfId="2" xr:uid="{00000000-0005-0000-0000-000002000000}"/>
    <cellStyle name="표준 3 2" xfId="3" xr:uid="{1A4EA1E6-8B81-4DC6-A2B5-12ED9C350229}"/>
    <cellStyle name="표준 3 2 2" xfId="8" xr:uid="{3A4B0848-35F2-4F25-B646-75E3E6752D83}"/>
    <cellStyle name="표준 3 3" xfId="7" xr:uid="{9D1DD964-D51E-4673-B241-3A765A0F7F53}"/>
    <cellStyle name="표준 4" xfId="4" xr:uid="{0FD280D1-54A5-43A4-AE3B-D25E2FEA54EE}"/>
    <cellStyle name="표준 5" xfId="5" xr:uid="{0EB665F2-D95D-47C2-8D7E-5CF01651A93F}"/>
    <cellStyle name="표준 6" xfId="6" xr:uid="{BF009672-67EC-4FF2-ADE4-ECC4A86FC22E}"/>
  </cellStyles>
  <dxfs count="10">
    <dxf>
      <font>
        <b/>
        <i val="0"/>
        <color theme="0"/>
      </font>
      <fill>
        <patternFill>
          <fgColor rgb="FFFF0000"/>
          <bgColor rgb="FFFF0000"/>
        </patternFill>
      </fill>
    </dxf>
    <dxf>
      <font>
        <b/>
        <i val="0"/>
        <color theme="0"/>
      </font>
      <fill>
        <patternFill>
          <fgColor rgb="FFFF0000"/>
          <bgColor rgb="FFFF0000"/>
        </patternFill>
      </fill>
    </dxf>
    <dxf>
      <font>
        <b/>
        <i val="0"/>
        <color theme="0"/>
      </font>
      <fill>
        <patternFill>
          <fgColor rgb="FFFF0000"/>
          <bgColor rgb="FFFF0000"/>
        </patternFill>
      </fill>
    </dxf>
    <dxf>
      <font>
        <b/>
        <i val="0"/>
        <color theme="0"/>
      </font>
      <fill>
        <patternFill>
          <fgColor rgb="FFFF0000"/>
          <bgColor rgb="FFFF0000"/>
        </patternFill>
      </fill>
    </dxf>
    <dxf>
      <font>
        <b/>
        <i val="0"/>
        <color theme="0"/>
      </font>
      <fill>
        <patternFill>
          <fgColor rgb="FFFF0000"/>
          <bgColor rgb="FFFF0000"/>
        </patternFill>
      </fill>
    </dxf>
    <dxf>
      <font>
        <b/>
        <i val="0"/>
        <color theme="0"/>
      </font>
      <fill>
        <patternFill>
          <fgColor rgb="FFFF0000"/>
          <bgColor rgb="FFFF0000"/>
        </patternFill>
      </fill>
    </dxf>
    <dxf>
      <font>
        <b/>
        <i val="0"/>
        <color theme="0"/>
      </font>
      <fill>
        <patternFill>
          <fgColor rgb="FFFF0000"/>
          <bgColor rgb="FFFF0000"/>
        </patternFill>
      </fill>
    </dxf>
    <dxf>
      <font>
        <b/>
        <i val="0"/>
        <color theme="0"/>
      </font>
      <fill>
        <patternFill>
          <fgColor rgb="FFFF0000"/>
          <bgColor rgb="FFFF0000"/>
        </patternFill>
      </fill>
    </dxf>
    <dxf>
      <font>
        <b/>
        <i val="0"/>
        <color theme="0"/>
      </font>
      <fill>
        <patternFill>
          <fgColor rgb="FFFF0000"/>
          <bgColor rgb="FFFF0000"/>
        </patternFill>
      </fill>
    </dxf>
    <dxf>
      <font>
        <b/>
        <i val="0"/>
        <color theme="0"/>
      </font>
      <fill>
        <patternFill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28" Type="http://schemas.openxmlformats.org/officeDocument/2006/relationships/theme" Target="theme/theme1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27" Type="http://customschemas.google.com/relationships/workbookmetadata" Target="metadata"/><Relationship Id="rId30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52285;&#50896;&#50668;&#44256;/&#44368;&#50977;&#44284;&#51221;&#48512;/02.%202025%20&#44368;&#50977;&#44284;&#51221;/07.%20&#44368;&#50977;&#44284;&#51221;%20&#54200;&#49457;&#54364;/2026&#54617;&#45380;&#46020;%20&#52285;&#50896;&#50668;&#44256;%20&#49888;&#51077;&#49373;%20&#44368;&#50977;&#44284;&#51221;%20&#54200;&#49457;&#54364;.xlsx" TargetMode="External"/><Relationship Id="rId2" Type="http://schemas.openxmlformats.org/officeDocument/2006/relationships/externalLinkPath" Target="https://gne097-my.sharepoint.com/personal/delta90_cwyeo-h_gne_go_kr/Documents/&#52285;&#50896;&#50668;&#44256;/&#44368;&#50977;&#44284;&#51221;&#48512;/02.%202025%20&#44368;&#50977;&#44284;&#51221;/07.%20&#44368;&#50977;&#44284;&#51221;%20&#54200;&#49457;&#54364;/2026&#54617;&#45380;&#46020;%20&#52285;&#50896;&#50668;&#44256;%20&#49888;&#51077;&#49373;%20&#44368;&#50977;&#44284;&#51221;%20&#54200;&#49457;&#54364;.xlsx" TargetMode="External"/><Relationship Id="rId1" Type="http://schemas.openxmlformats.org/officeDocument/2006/relationships/externalLinkPath" Target="/personal/delta90_cwyeo-h_gne_go_kr/Documents/&#52285;&#50896;&#50668;&#44256;/&#44368;&#50977;&#44284;&#51221;&#48512;/02.%202025%20&#44368;&#50977;&#44284;&#51221;/07.%20&#44368;&#50977;&#44284;&#51221;%20&#54200;&#49457;&#54364;/2026&#54617;&#45380;&#46020;%20&#52285;&#50896;&#50668;&#44256;%20&#49888;&#51077;&#49373;%20&#44368;&#50977;&#44284;&#51221;%20&#54200;&#49457;&#5436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작성요령"/>
      <sheetName val="2025학년도 전학년 작성 예시"/>
      <sheetName val="2026 입학생 3개년(1학년)"/>
      <sheetName val="(2022)보통교과 목록"/>
      <sheetName val="숨김"/>
    </sheetNames>
    <sheetDataSet>
      <sheetData sheetId="0"/>
      <sheetData sheetId="1"/>
      <sheetData sheetId="2"/>
      <sheetData sheetId="3"/>
      <sheetData sheetId="4">
        <row r="3">
          <cell r="B3" t="str">
            <v>공통국어1</v>
          </cell>
          <cell r="C3" t="str">
            <v>공통</v>
          </cell>
          <cell r="D3">
            <v>4</v>
          </cell>
          <cell r="E3" t="str">
            <v>성취도 5단계+석차등급O</v>
          </cell>
        </row>
        <row r="4">
          <cell r="B4" t="str">
            <v>공통국어2</v>
          </cell>
          <cell r="C4" t="str">
            <v>공통</v>
          </cell>
          <cell r="D4">
            <v>4</v>
          </cell>
          <cell r="E4" t="str">
            <v>성취도 5단계+석차등급O</v>
          </cell>
        </row>
        <row r="5">
          <cell r="B5" t="str">
            <v>화법과 언어</v>
          </cell>
          <cell r="C5" t="str">
            <v>일반</v>
          </cell>
          <cell r="D5">
            <v>4</v>
          </cell>
          <cell r="E5" t="str">
            <v>성취도 5단계+석차등급O</v>
          </cell>
        </row>
        <row r="6">
          <cell r="B6" t="str">
            <v>독서와 작문</v>
          </cell>
          <cell r="C6" t="str">
            <v>일반</v>
          </cell>
          <cell r="D6">
            <v>4</v>
          </cell>
          <cell r="E6" t="str">
            <v>성취도 5단계+석차등급O</v>
          </cell>
        </row>
        <row r="7">
          <cell r="B7" t="str">
            <v>문학</v>
          </cell>
          <cell r="C7" t="str">
            <v>일반</v>
          </cell>
          <cell r="D7">
            <v>4</v>
          </cell>
          <cell r="E7" t="str">
            <v>성취도 5단계+석차등급O</v>
          </cell>
        </row>
        <row r="8">
          <cell r="B8" t="str">
            <v>주제 탐구 독서</v>
          </cell>
          <cell r="C8" t="str">
            <v>진로</v>
          </cell>
          <cell r="D8">
            <v>4</v>
          </cell>
          <cell r="E8" t="str">
            <v>성취도 5단계+석차등급O</v>
          </cell>
        </row>
        <row r="9">
          <cell r="B9" t="str">
            <v>문학과 영상</v>
          </cell>
          <cell r="C9" t="str">
            <v>진로</v>
          </cell>
          <cell r="D9">
            <v>4</v>
          </cell>
          <cell r="E9" t="str">
            <v>성취도 5단계+석차등급O</v>
          </cell>
        </row>
        <row r="10">
          <cell r="B10" t="str">
            <v>직무 의사소통</v>
          </cell>
          <cell r="C10" t="str">
            <v>진로</v>
          </cell>
          <cell r="D10">
            <v>4</v>
          </cell>
          <cell r="E10" t="str">
            <v>성취도 5단계+석차등급O</v>
          </cell>
        </row>
        <row r="11">
          <cell r="B11" t="str">
            <v>독서 토론과 글쓰기</v>
          </cell>
          <cell r="C11" t="str">
            <v>융합</v>
          </cell>
          <cell r="D11">
            <v>4</v>
          </cell>
          <cell r="E11" t="str">
            <v>성취도 5단계+석차등급O</v>
          </cell>
        </row>
        <row r="12">
          <cell r="B12" t="str">
            <v>매체 의사소통</v>
          </cell>
          <cell r="C12" t="str">
            <v>융합</v>
          </cell>
          <cell r="D12">
            <v>4</v>
          </cell>
          <cell r="E12" t="str">
            <v>성취도 5단계+석차등급O</v>
          </cell>
        </row>
        <row r="13">
          <cell r="B13" t="str">
            <v>언어생활 탐구</v>
          </cell>
          <cell r="C13" t="str">
            <v>융합</v>
          </cell>
          <cell r="D13">
            <v>4</v>
          </cell>
          <cell r="E13" t="str">
            <v>성취도 5단계+석차등급O</v>
          </cell>
        </row>
        <row r="14">
          <cell r="B14" t="str">
            <v>공통수학1</v>
          </cell>
          <cell r="C14" t="str">
            <v>공통</v>
          </cell>
          <cell r="D14">
            <v>4</v>
          </cell>
          <cell r="E14" t="str">
            <v>성취도 5단계+석차등급O</v>
          </cell>
        </row>
        <row r="15">
          <cell r="B15" t="str">
            <v>공통수학2</v>
          </cell>
          <cell r="C15" t="str">
            <v>공통</v>
          </cell>
          <cell r="D15">
            <v>4</v>
          </cell>
          <cell r="E15" t="str">
            <v>성취도 5단계+석차등급O</v>
          </cell>
        </row>
        <row r="16">
          <cell r="B16" t="str">
            <v>기본수학1</v>
          </cell>
          <cell r="C16" t="str">
            <v>공통</v>
          </cell>
          <cell r="D16">
            <v>4</v>
          </cell>
          <cell r="E16" t="str">
            <v>성취도 5단계+석차등급O</v>
          </cell>
        </row>
        <row r="17">
          <cell r="B17" t="str">
            <v>기본수학2</v>
          </cell>
          <cell r="C17" t="str">
            <v>공통</v>
          </cell>
          <cell r="D17">
            <v>4</v>
          </cell>
          <cell r="E17" t="str">
            <v>성취도 5단계+석차등급O</v>
          </cell>
        </row>
        <row r="18">
          <cell r="B18" t="str">
            <v>대수</v>
          </cell>
          <cell r="C18" t="str">
            <v>일반</v>
          </cell>
          <cell r="D18">
            <v>4</v>
          </cell>
          <cell r="E18" t="str">
            <v>성취도 5단계+석차등급O</v>
          </cell>
        </row>
        <row r="19">
          <cell r="B19" t="str">
            <v>미적분Ⅰ</v>
          </cell>
          <cell r="C19" t="str">
            <v>일반</v>
          </cell>
          <cell r="D19">
            <v>4</v>
          </cell>
          <cell r="E19" t="str">
            <v>성취도 5단계+석차등급O</v>
          </cell>
        </row>
        <row r="20">
          <cell r="B20" t="str">
            <v>확률과 통계</v>
          </cell>
          <cell r="C20" t="str">
            <v>일반</v>
          </cell>
          <cell r="D20">
            <v>4</v>
          </cell>
          <cell r="E20" t="str">
            <v>성취도 5단계+석차등급O</v>
          </cell>
        </row>
        <row r="21">
          <cell r="B21" t="str">
            <v>기하</v>
          </cell>
          <cell r="C21" t="str">
            <v>진로</v>
          </cell>
          <cell r="D21">
            <v>4</v>
          </cell>
          <cell r="E21" t="str">
            <v>성취도 5단계+석차등급O</v>
          </cell>
        </row>
        <row r="22">
          <cell r="B22" t="str">
            <v>미적분Ⅱ</v>
          </cell>
          <cell r="C22" t="str">
            <v>진로</v>
          </cell>
          <cell r="D22">
            <v>4</v>
          </cell>
          <cell r="E22" t="str">
            <v>성취도 5단계+석차등급O</v>
          </cell>
        </row>
        <row r="23">
          <cell r="B23" t="str">
            <v>경제 수학</v>
          </cell>
          <cell r="C23" t="str">
            <v>진로</v>
          </cell>
          <cell r="D23">
            <v>4</v>
          </cell>
          <cell r="E23" t="str">
            <v>성취도 5단계+석차등급O</v>
          </cell>
        </row>
        <row r="24">
          <cell r="B24" t="str">
            <v>인공지능 수학</v>
          </cell>
          <cell r="C24" t="str">
            <v>진로</v>
          </cell>
          <cell r="D24">
            <v>4</v>
          </cell>
          <cell r="E24" t="str">
            <v>성취도 5단계+석차등급O</v>
          </cell>
        </row>
        <row r="25">
          <cell r="B25" t="str">
            <v>직무 수학</v>
          </cell>
          <cell r="C25" t="str">
            <v>진로</v>
          </cell>
          <cell r="D25">
            <v>4</v>
          </cell>
          <cell r="E25" t="str">
            <v>성취도 5단계+석차등급O</v>
          </cell>
        </row>
        <row r="26">
          <cell r="B26" t="str">
            <v>수학과 문화</v>
          </cell>
          <cell r="C26" t="str">
            <v>융합</v>
          </cell>
          <cell r="D26">
            <v>4</v>
          </cell>
          <cell r="E26" t="str">
            <v>성취도 5단계+석차등급O</v>
          </cell>
        </row>
        <row r="27">
          <cell r="B27" t="str">
            <v>실용 통계</v>
          </cell>
          <cell r="C27" t="str">
            <v>융합</v>
          </cell>
          <cell r="D27">
            <v>4</v>
          </cell>
          <cell r="E27" t="str">
            <v>성취도 5단계+석차등급O</v>
          </cell>
        </row>
        <row r="28">
          <cell r="B28" t="str">
            <v>수학과제 탐구</v>
          </cell>
          <cell r="C28" t="str">
            <v>융합</v>
          </cell>
          <cell r="D28">
            <v>4</v>
          </cell>
          <cell r="E28" t="str">
            <v>성취도 5단계+석차등급O</v>
          </cell>
        </row>
        <row r="29">
          <cell r="B29" t="str">
            <v>공통영어1</v>
          </cell>
          <cell r="C29" t="str">
            <v>공통</v>
          </cell>
          <cell r="D29">
            <v>4</v>
          </cell>
          <cell r="E29" t="str">
            <v>성취도 5단계+석차등급O</v>
          </cell>
        </row>
        <row r="30">
          <cell r="B30" t="str">
            <v>공통영어2</v>
          </cell>
          <cell r="C30" t="str">
            <v>공통</v>
          </cell>
          <cell r="D30">
            <v>4</v>
          </cell>
          <cell r="E30" t="str">
            <v>성취도 5단계+석차등급O</v>
          </cell>
        </row>
        <row r="31">
          <cell r="B31" t="str">
            <v>기본영어1</v>
          </cell>
          <cell r="C31" t="str">
            <v>공통</v>
          </cell>
          <cell r="D31">
            <v>4</v>
          </cell>
          <cell r="E31" t="str">
            <v>성취도 5단계+석차등급O</v>
          </cell>
        </row>
        <row r="32">
          <cell r="B32" t="str">
            <v>기본영어2</v>
          </cell>
          <cell r="C32" t="str">
            <v>공통</v>
          </cell>
          <cell r="D32">
            <v>4</v>
          </cell>
          <cell r="E32" t="str">
            <v>성취도 5단계+석차등급O</v>
          </cell>
        </row>
        <row r="33">
          <cell r="B33" t="str">
            <v>영어Ⅰ</v>
          </cell>
          <cell r="C33" t="str">
            <v>일반</v>
          </cell>
          <cell r="D33">
            <v>4</v>
          </cell>
          <cell r="E33" t="str">
            <v>성취도 5단계+석차등급O</v>
          </cell>
        </row>
        <row r="34">
          <cell r="B34" t="str">
            <v>영어Ⅱ</v>
          </cell>
          <cell r="C34" t="str">
            <v>일반</v>
          </cell>
          <cell r="D34">
            <v>4</v>
          </cell>
          <cell r="E34" t="str">
            <v>성취도 5단계+석차등급O</v>
          </cell>
        </row>
        <row r="35">
          <cell r="B35" t="str">
            <v>영어 독해와 작문</v>
          </cell>
          <cell r="C35" t="str">
            <v>일반</v>
          </cell>
          <cell r="D35">
            <v>4</v>
          </cell>
          <cell r="E35" t="str">
            <v>성취도 5단계+석차등급O</v>
          </cell>
        </row>
        <row r="36">
          <cell r="B36" t="str">
            <v>영미 문학 읽기</v>
          </cell>
          <cell r="C36" t="str">
            <v>진로</v>
          </cell>
          <cell r="D36">
            <v>4</v>
          </cell>
          <cell r="E36" t="str">
            <v>성취도 5단계+석차등급O</v>
          </cell>
        </row>
        <row r="37">
          <cell r="B37" t="str">
            <v>영어 발표와 토론</v>
          </cell>
          <cell r="C37" t="str">
            <v>진로</v>
          </cell>
          <cell r="D37">
            <v>4</v>
          </cell>
          <cell r="E37" t="str">
            <v>성취도 5단계+석차등급O</v>
          </cell>
        </row>
        <row r="38">
          <cell r="B38" t="str">
            <v>심화 영어</v>
          </cell>
          <cell r="C38" t="str">
            <v>진로</v>
          </cell>
          <cell r="D38">
            <v>4</v>
          </cell>
          <cell r="E38" t="str">
            <v>성취도 5단계+석차등급O</v>
          </cell>
        </row>
        <row r="39">
          <cell r="B39" t="str">
            <v>심화 영어 독해와 작문</v>
          </cell>
          <cell r="C39" t="str">
            <v>진로</v>
          </cell>
          <cell r="D39">
            <v>4</v>
          </cell>
          <cell r="E39" t="str">
            <v>성취도 5단계+석차등급O</v>
          </cell>
        </row>
        <row r="40">
          <cell r="B40" t="str">
            <v>직무 영어</v>
          </cell>
          <cell r="C40" t="str">
            <v>진로</v>
          </cell>
          <cell r="D40">
            <v>4</v>
          </cell>
          <cell r="E40" t="str">
            <v>성취도 5단계+석차등급O</v>
          </cell>
        </row>
        <row r="41">
          <cell r="B41" t="str">
            <v>실생활 영어 회화</v>
          </cell>
          <cell r="C41" t="str">
            <v>융합</v>
          </cell>
          <cell r="D41">
            <v>4</v>
          </cell>
          <cell r="E41" t="str">
            <v>성취도 5단계+석차등급O</v>
          </cell>
        </row>
        <row r="42">
          <cell r="B42" t="str">
            <v>미디어 영어</v>
          </cell>
          <cell r="C42" t="str">
            <v>융합</v>
          </cell>
          <cell r="D42">
            <v>4</v>
          </cell>
          <cell r="E42" t="str">
            <v>성취도 5단계+석차등급O</v>
          </cell>
        </row>
        <row r="43">
          <cell r="B43" t="str">
            <v>세계 문화와 영어</v>
          </cell>
          <cell r="C43" t="str">
            <v>융합</v>
          </cell>
          <cell r="D43">
            <v>4</v>
          </cell>
          <cell r="E43" t="str">
            <v>성취도 5단계+석차등급O</v>
          </cell>
        </row>
        <row r="44">
          <cell r="B44" t="str">
            <v>한국사1</v>
          </cell>
          <cell r="C44" t="str">
            <v>공통</v>
          </cell>
          <cell r="D44">
            <v>3</v>
          </cell>
          <cell r="E44" t="str">
            <v>성취도 5단계+석차등급O</v>
          </cell>
        </row>
        <row r="45">
          <cell r="B45" t="str">
            <v>한국사2</v>
          </cell>
          <cell r="C45" t="str">
            <v>공통</v>
          </cell>
          <cell r="D45">
            <v>3</v>
          </cell>
          <cell r="E45" t="str">
            <v>성취도 5단계+석차등급O</v>
          </cell>
        </row>
        <row r="46">
          <cell r="B46" t="str">
            <v>통합사회1</v>
          </cell>
          <cell r="C46" t="str">
            <v>공통</v>
          </cell>
          <cell r="D46">
            <v>4</v>
          </cell>
          <cell r="E46" t="str">
            <v>성취도 5단계+석차등급O</v>
          </cell>
        </row>
        <row r="47">
          <cell r="B47" t="str">
            <v>통합사회2</v>
          </cell>
          <cell r="C47" t="str">
            <v>공통</v>
          </cell>
          <cell r="D47">
            <v>4</v>
          </cell>
          <cell r="E47" t="str">
            <v>성취도 5단계+석차등급O</v>
          </cell>
        </row>
        <row r="48">
          <cell r="B48" t="str">
            <v>세계시민과 지리</v>
          </cell>
          <cell r="C48" t="str">
            <v>일반</v>
          </cell>
          <cell r="D48">
            <v>4</v>
          </cell>
          <cell r="E48" t="str">
            <v>성취도 5단계+석차등급O</v>
          </cell>
        </row>
        <row r="49">
          <cell r="B49" t="str">
            <v>세계사</v>
          </cell>
          <cell r="C49" t="str">
            <v>일반</v>
          </cell>
          <cell r="D49">
            <v>4</v>
          </cell>
          <cell r="E49" t="str">
            <v>성취도 5단계+석차등급O</v>
          </cell>
        </row>
        <row r="50">
          <cell r="B50" t="str">
            <v>사회와 문화</v>
          </cell>
          <cell r="C50" t="str">
            <v>일반</v>
          </cell>
          <cell r="D50">
            <v>4</v>
          </cell>
          <cell r="E50" t="str">
            <v>성취도 5단계+석차등급O</v>
          </cell>
        </row>
        <row r="51">
          <cell r="B51" t="str">
            <v>현대사회와 윤리</v>
          </cell>
          <cell r="C51" t="str">
            <v>일반</v>
          </cell>
          <cell r="D51">
            <v>4</v>
          </cell>
          <cell r="E51" t="str">
            <v>성취도 5단계+석차등급O</v>
          </cell>
        </row>
        <row r="52">
          <cell r="B52" t="str">
            <v>한국지리 탐구</v>
          </cell>
          <cell r="C52" t="str">
            <v>진로</v>
          </cell>
          <cell r="D52">
            <v>4</v>
          </cell>
          <cell r="E52" t="str">
            <v>성취도 5단계+석차등급O</v>
          </cell>
        </row>
        <row r="53">
          <cell r="B53" t="str">
            <v>도시의 미래 탐구</v>
          </cell>
          <cell r="C53" t="str">
            <v>진로</v>
          </cell>
          <cell r="D53">
            <v>4</v>
          </cell>
          <cell r="E53" t="str">
            <v>성취도 5단계+석차등급O</v>
          </cell>
        </row>
        <row r="54">
          <cell r="B54" t="str">
            <v>동아시아 역사 기행</v>
          </cell>
          <cell r="C54" t="str">
            <v>진로</v>
          </cell>
          <cell r="D54">
            <v>4</v>
          </cell>
          <cell r="E54" t="str">
            <v>성취도 5단계+석차등급O</v>
          </cell>
        </row>
        <row r="55">
          <cell r="B55" t="str">
            <v>정치</v>
          </cell>
          <cell r="C55" t="str">
            <v>진로</v>
          </cell>
          <cell r="D55">
            <v>4</v>
          </cell>
          <cell r="E55" t="str">
            <v>성취도 5단계+석차등급O</v>
          </cell>
        </row>
        <row r="56">
          <cell r="B56" t="str">
            <v>법과 사회</v>
          </cell>
          <cell r="C56" t="str">
            <v>진로</v>
          </cell>
          <cell r="D56">
            <v>4</v>
          </cell>
          <cell r="E56" t="str">
            <v>성취도 5단계+석차등급O</v>
          </cell>
        </row>
        <row r="57">
          <cell r="B57" t="str">
            <v>경제</v>
          </cell>
          <cell r="C57" t="str">
            <v>진로</v>
          </cell>
          <cell r="D57">
            <v>4</v>
          </cell>
          <cell r="E57" t="str">
            <v>성취도 5단계+석차등급O</v>
          </cell>
        </row>
        <row r="58">
          <cell r="B58" t="str">
            <v>윤리와 사상</v>
          </cell>
          <cell r="C58" t="str">
            <v>진로</v>
          </cell>
          <cell r="D58">
            <v>4</v>
          </cell>
          <cell r="E58" t="str">
            <v>성취도 5단계+석차등급O</v>
          </cell>
        </row>
        <row r="59">
          <cell r="B59" t="str">
            <v>인문학과 윤리</v>
          </cell>
          <cell r="C59" t="str">
            <v>진로</v>
          </cell>
          <cell r="D59">
            <v>4</v>
          </cell>
          <cell r="E59" t="str">
            <v>성취도 5단계+석차등급O</v>
          </cell>
        </row>
        <row r="60">
          <cell r="B60" t="str">
            <v>국제 관계의 이해</v>
          </cell>
          <cell r="C60" t="str">
            <v>진로</v>
          </cell>
          <cell r="D60">
            <v>4</v>
          </cell>
          <cell r="E60" t="str">
            <v>성취도 5단계+석차등급O</v>
          </cell>
        </row>
        <row r="61">
          <cell r="B61" t="str">
            <v>여행지리</v>
          </cell>
          <cell r="C61" t="str">
            <v>융합</v>
          </cell>
          <cell r="D61">
            <v>4</v>
          </cell>
          <cell r="E61" t="str">
            <v>성취도 5단계+석차등급X</v>
          </cell>
        </row>
        <row r="62">
          <cell r="B62" t="str">
            <v>역사로 탐구하는 현대 세계</v>
          </cell>
          <cell r="C62" t="str">
            <v>융합</v>
          </cell>
          <cell r="D62">
            <v>4</v>
          </cell>
          <cell r="E62" t="str">
            <v>성취도 5단계+석차등급X</v>
          </cell>
        </row>
        <row r="63">
          <cell r="B63" t="str">
            <v>사회문제 탐구</v>
          </cell>
          <cell r="C63" t="str">
            <v>융합</v>
          </cell>
          <cell r="D63">
            <v>4</v>
          </cell>
          <cell r="E63" t="str">
            <v>성취도 5단계+석차등급X</v>
          </cell>
        </row>
        <row r="64">
          <cell r="B64" t="str">
            <v>금융과 경제생활</v>
          </cell>
          <cell r="C64" t="str">
            <v>융합</v>
          </cell>
          <cell r="D64">
            <v>4</v>
          </cell>
          <cell r="E64" t="str">
            <v>성취도 5단계+석차등급X</v>
          </cell>
        </row>
        <row r="65">
          <cell r="B65" t="str">
            <v>윤리문제 탐구</v>
          </cell>
          <cell r="C65" t="str">
            <v>융합</v>
          </cell>
          <cell r="D65">
            <v>4</v>
          </cell>
          <cell r="E65" t="str">
            <v>성취도 5단계+석차등급X</v>
          </cell>
        </row>
        <row r="66">
          <cell r="B66" t="str">
            <v>기후변화와 지속가능한 세계</v>
          </cell>
          <cell r="C66" t="str">
            <v>융합</v>
          </cell>
          <cell r="D66">
            <v>4</v>
          </cell>
          <cell r="E66" t="str">
            <v>성취도 5단계+석차등급X</v>
          </cell>
        </row>
        <row r="67">
          <cell r="B67" t="str">
            <v>통합과학1</v>
          </cell>
          <cell r="C67" t="str">
            <v>공통</v>
          </cell>
          <cell r="D67">
            <v>4</v>
          </cell>
          <cell r="E67" t="str">
            <v>성취도 5단계+석차등급O</v>
          </cell>
        </row>
        <row r="68">
          <cell r="B68" t="str">
            <v>통합과학2</v>
          </cell>
          <cell r="C68" t="str">
            <v>공통</v>
          </cell>
          <cell r="D68">
            <v>4</v>
          </cell>
          <cell r="E68" t="str">
            <v>성취도 5단계+석차등급O</v>
          </cell>
        </row>
        <row r="69">
          <cell r="B69" t="str">
            <v>과학탐구실험1</v>
          </cell>
          <cell r="C69" t="str">
            <v>공통</v>
          </cell>
          <cell r="D69">
            <v>1</v>
          </cell>
          <cell r="E69" t="str">
            <v>성취도 3단계</v>
          </cell>
        </row>
        <row r="70">
          <cell r="B70" t="str">
            <v>과학탐구실험2</v>
          </cell>
          <cell r="C70" t="str">
            <v>공통</v>
          </cell>
          <cell r="D70">
            <v>1</v>
          </cell>
          <cell r="E70" t="str">
            <v>성취도 3단계</v>
          </cell>
        </row>
        <row r="71">
          <cell r="B71" t="str">
            <v>물리학</v>
          </cell>
          <cell r="C71" t="str">
            <v>일반</v>
          </cell>
          <cell r="D71">
            <v>4</v>
          </cell>
          <cell r="E71" t="str">
            <v>성취도 5단계+석차등급O</v>
          </cell>
        </row>
        <row r="72">
          <cell r="B72" t="str">
            <v>화학</v>
          </cell>
          <cell r="C72" t="str">
            <v>일반</v>
          </cell>
          <cell r="D72">
            <v>4</v>
          </cell>
          <cell r="E72" t="str">
            <v>성취도 5단계+석차등급O</v>
          </cell>
        </row>
        <row r="73">
          <cell r="B73" t="str">
            <v>생명과학</v>
          </cell>
          <cell r="C73" t="str">
            <v>일반</v>
          </cell>
          <cell r="D73">
            <v>4</v>
          </cell>
          <cell r="E73" t="str">
            <v>성취도 5단계+석차등급O</v>
          </cell>
        </row>
        <row r="74">
          <cell r="B74" t="str">
            <v>지구과학</v>
          </cell>
          <cell r="C74" t="str">
            <v>일반</v>
          </cell>
          <cell r="D74">
            <v>4</v>
          </cell>
          <cell r="E74" t="str">
            <v>성취도 5단계+석차등급O</v>
          </cell>
        </row>
        <row r="75">
          <cell r="B75" t="str">
            <v>역학과 에너지</v>
          </cell>
          <cell r="C75" t="str">
            <v>진로</v>
          </cell>
          <cell r="D75">
            <v>4</v>
          </cell>
          <cell r="E75" t="str">
            <v>성취도 5단계+석차등급O</v>
          </cell>
        </row>
        <row r="76">
          <cell r="B76" t="str">
            <v>전자기와 양자</v>
          </cell>
          <cell r="C76" t="str">
            <v>진로</v>
          </cell>
          <cell r="D76">
            <v>4</v>
          </cell>
          <cell r="E76" t="str">
            <v>성취도 5단계+석차등급O</v>
          </cell>
        </row>
        <row r="77">
          <cell r="B77" t="str">
            <v>물질과 에너지</v>
          </cell>
          <cell r="C77" t="str">
            <v>진로</v>
          </cell>
          <cell r="D77">
            <v>4</v>
          </cell>
          <cell r="E77" t="str">
            <v>성취도 5단계+석차등급O</v>
          </cell>
        </row>
        <row r="78">
          <cell r="B78" t="str">
            <v>화학 반응의 세계</v>
          </cell>
          <cell r="C78" t="str">
            <v>진로</v>
          </cell>
          <cell r="D78">
            <v>4</v>
          </cell>
          <cell r="E78" t="str">
            <v>성취도 5단계+석차등급O</v>
          </cell>
        </row>
        <row r="79">
          <cell r="B79" t="str">
            <v>세포와 물질대사</v>
          </cell>
          <cell r="C79" t="str">
            <v>진로</v>
          </cell>
          <cell r="D79">
            <v>4</v>
          </cell>
          <cell r="E79" t="str">
            <v>성취도 5단계+석차등급O</v>
          </cell>
        </row>
        <row r="80">
          <cell r="B80" t="str">
            <v>생물의 유전</v>
          </cell>
          <cell r="C80" t="str">
            <v>진로</v>
          </cell>
          <cell r="D80">
            <v>4</v>
          </cell>
          <cell r="E80" t="str">
            <v>성취도 5단계+석차등급O</v>
          </cell>
        </row>
        <row r="81">
          <cell r="B81" t="str">
            <v>지구시스템과학</v>
          </cell>
          <cell r="C81" t="str">
            <v>진로</v>
          </cell>
          <cell r="D81">
            <v>4</v>
          </cell>
          <cell r="E81" t="str">
            <v>성취도 5단계+석차등급O</v>
          </cell>
        </row>
        <row r="82">
          <cell r="B82" t="str">
            <v>행성우주과학</v>
          </cell>
          <cell r="C82" t="str">
            <v>진로</v>
          </cell>
          <cell r="D82">
            <v>4</v>
          </cell>
          <cell r="E82" t="str">
            <v>성취도 5단계+석차등급O</v>
          </cell>
        </row>
        <row r="83">
          <cell r="B83" t="str">
            <v>과학의 역사와 문화</v>
          </cell>
          <cell r="C83" t="str">
            <v>융합</v>
          </cell>
          <cell r="D83">
            <v>4</v>
          </cell>
          <cell r="E83" t="str">
            <v>성취도 5단계+석차등급X</v>
          </cell>
        </row>
        <row r="84">
          <cell r="B84" t="str">
            <v>기후변화와 환경생태</v>
          </cell>
          <cell r="C84" t="str">
            <v>융합</v>
          </cell>
          <cell r="D84">
            <v>4</v>
          </cell>
          <cell r="E84" t="str">
            <v>성취도 5단계+석차등급X</v>
          </cell>
        </row>
        <row r="85">
          <cell r="B85" t="str">
            <v>융합과학 탐구</v>
          </cell>
          <cell r="C85" t="str">
            <v>융합</v>
          </cell>
          <cell r="D85">
            <v>4</v>
          </cell>
          <cell r="E85" t="str">
            <v>성취도 5단계+석차등급X</v>
          </cell>
        </row>
        <row r="86">
          <cell r="B86" t="str">
            <v>체육1</v>
          </cell>
          <cell r="C86" t="str">
            <v>일반</v>
          </cell>
          <cell r="D86">
            <v>3</v>
          </cell>
          <cell r="E86" t="str">
            <v>성취도 3단계</v>
          </cell>
        </row>
        <row r="87">
          <cell r="B87" t="str">
            <v>체육2</v>
          </cell>
          <cell r="C87" t="str">
            <v>일반</v>
          </cell>
          <cell r="D87">
            <v>3</v>
          </cell>
          <cell r="E87" t="str">
            <v>성취도 3단계</v>
          </cell>
        </row>
        <row r="88">
          <cell r="B88" t="str">
            <v>운동과 건강</v>
          </cell>
          <cell r="C88" t="str">
            <v>진로</v>
          </cell>
          <cell r="D88">
            <v>3</v>
          </cell>
          <cell r="E88" t="str">
            <v>성취도 3단계</v>
          </cell>
        </row>
        <row r="89">
          <cell r="B89" t="str">
            <v>스포츠 문화</v>
          </cell>
          <cell r="C89" t="str">
            <v>진로</v>
          </cell>
          <cell r="D89">
            <v>2</v>
          </cell>
          <cell r="E89" t="str">
            <v>성취도 3단계</v>
          </cell>
        </row>
        <row r="90">
          <cell r="B90" t="str">
            <v>스포츠 과학</v>
          </cell>
          <cell r="C90" t="str">
            <v>진로</v>
          </cell>
          <cell r="D90">
            <v>2</v>
          </cell>
          <cell r="E90" t="str">
            <v>성취도 3단계</v>
          </cell>
        </row>
        <row r="91">
          <cell r="B91" t="str">
            <v>스포츠 생활1</v>
          </cell>
          <cell r="C91" t="str">
            <v>융합</v>
          </cell>
          <cell r="D91">
            <v>3</v>
          </cell>
          <cell r="E91" t="str">
            <v>성취도 3단계</v>
          </cell>
        </row>
        <row r="92">
          <cell r="B92" t="str">
            <v>스포츠 생활2</v>
          </cell>
          <cell r="C92" t="str">
            <v>융합</v>
          </cell>
          <cell r="D92">
            <v>3</v>
          </cell>
          <cell r="E92" t="str">
            <v>성취도 3단계</v>
          </cell>
        </row>
        <row r="93">
          <cell r="B93" t="str">
            <v>음악</v>
          </cell>
          <cell r="C93" t="str">
            <v>일반</v>
          </cell>
          <cell r="D93">
            <v>3</v>
          </cell>
          <cell r="E93" t="str">
            <v>성취도 3단계</v>
          </cell>
        </row>
        <row r="94">
          <cell r="B94" t="str">
            <v>미술</v>
          </cell>
          <cell r="C94" t="str">
            <v>일반</v>
          </cell>
          <cell r="D94">
            <v>3</v>
          </cell>
          <cell r="E94" t="str">
            <v>성취도 3단계</v>
          </cell>
        </row>
        <row r="95">
          <cell r="B95" t="str">
            <v>연극</v>
          </cell>
          <cell r="C95" t="str">
            <v>일반</v>
          </cell>
          <cell r="D95">
            <v>3</v>
          </cell>
          <cell r="E95" t="str">
            <v>성취도 3단계</v>
          </cell>
        </row>
        <row r="96">
          <cell r="B96" t="str">
            <v>음악 연주와 창작</v>
          </cell>
          <cell r="C96" t="str">
            <v>진로</v>
          </cell>
          <cell r="D96">
            <v>3</v>
          </cell>
          <cell r="E96" t="str">
            <v>성취도 3단계</v>
          </cell>
        </row>
        <row r="97">
          <cell r="B97" t="str">
            <v>음악 감상과 비평</v>
          </cell>
          <cell r="C97" t="str">
            <v>진로</v>
          </cell>
          <cell r="D97">
            <v>3</v>
          </cell>
          <cell r="E97" t="str">
            <v>성취도 3단계</v>
          </cell>
        </row>
        <row r="98">
          <cell r="B98" t="str">
            <v>미술 창작</v>
          </cell>
          <cell r="C98" t="str">
            <v>진로</v>
          </cell>
          <cell r="D98">
            <v>3</v>
          </cell>
          <cell r="E98" t="str">
            <v>성취도 3단계</v>
          </cell>
        </row>
        <row r="99">
          <cell r="B99" t="str">
            <v>미술 감상과 비평</v>
          </cell>
          <cell r="C99" t="str">
            <v>진로</v>
          </cell>
          <cell r="D99">
            <v>3</v>
          </cell>
          <cell r="E99" t="str">
            <v>성취도 3단계</v>
          </cell>
        </row>
        <row r="100">
          <cell r="B100" t="str">
            <v>음악과 미디어</v>
          </cell>
          <cell r="C100" t="str">
            <v>융합</v>
          </cell>
          <cell r="D100">
            <v>3</v>
          </cell>
          <cell r="E100" t="str">
            <v>성취도 3단계</v>
          </cell>
        </row>
        <row r="101">
          <cell r="B101" t="str">
            <v>미술과 매체</v>
          </cell>
          <cell r="C101" t="str">
            <v>융합</v>
          </cell>
          <cell r="D101">
            <v>3</v>
          </cell>
          <cell r="E101" t="str">
            <v>성취도 3단계</v>
          </cell>
        </row>
        <row r="102">
          <cell r="B102" t="str">
            <v>기술·가정</v>
          </cell>
          <cell r="C102" t="str">
            <v>일반</v>
          </cell>
          <cell r="D102">
            <v>4</v>
          </cell>
          <cell r="E102" t="str">
            <v>성취도 5단계+석차등급O</v>
          </cell>
        </row>
        <row r="103">
          <cell r="B103" t="str">
            <v>로봇과 공학세계</v>
          </cell>
          <cell r="C103" t="str">
            <v>진로</v>
          </cell>
          <cell r="D103">
            <v>4</v>
          </cell>
          <cell r="E103" t="str">
            <v>성취도 5단계+석차등급O</v>
          </cell>
        </row>
        <row r="104">
          <cell r="B104" t="str">
            <v>생활과학 탐구</v>
          </cell>
          <cell r="C104" t="str">
            <v>진로</v>
          </cell>
          <cell r="D104">
            <v>4</v>
          </cell>
          <cell r="E104" t="str">
            <v>성취도 5단계+석차등급O</v>
          </cell>
        </row>
        <row r="105">
          <cell r="B105" t="str">
            <v>창의 공학 설계</v>
          </cell>
          <cell r="C105" t="str">
            <v>융합</v>
          </cell>
          <cell r="D105">
            <v>4</v>
          </cell>
          <cell r="E105" t="str">
            <v>성취도 5단계+석차등급O</v>
          </cell>
        </row>
        <row r="106">
          <cell r="B106" t="str">
            <v>지식 재산 일반</v>
          </cell>
          <cell r="C106" t="str">
            <v>융합</v>
          </cell>
          <cell r="D106">
            <v>4</v>
          </cell>
          <cell r="E106" t="str">
            <v>성취도 5단계+석차등급O</v>
          </cell>
        </row>
        <row r="107">
          <cell r="B107" t="str">
            <v>생애 설계와 자립</v>
          </cell>
          <cell r="C107" t="str">
            <v>융합</v>
          </cell>
          <cell r="D107">
            <v>2</v>
          </cell>
          <cell r="E107" t="str">
            <v>성취도 5단계+석차등급O</v>
          </cell>
        </row>
        <row r="108">
          <cell r="B108" t="str">
            <v>아동발달과 부모</v>
          </cell>
          <cell r="C108" t="str">
            <v>융합</v>
          </cell>
          <cell r="D108">
            <v>4</v>
          </cell>
          <cell r="E108" t="str">
            <v>성취도 5단계+석차등급O</v>
          </cell>
        </row>
        <row r="109">
          <cell r="B109" t="str">
            <v>정보</v>
          </cell>
          <cell r="C109" t="str">
            <v>일반</v>
          </cell>
          <cell r="D109">
            <v>4</v>
          </cell>
          <cell r="E109" t="str">
            <v>성취도 5단계+석차등급O</v>
          </cell>
        </row>
        <row r="110">
          <cell r="B110" t="str">
            <v>인공지능 기초</v>
          </cell>
          <cell r="C110" t="str">
            <v>진로</v>
          </cell>
          <cell r="D110">
            <v>4</v>
          </cell>
          <cell r="E110" t="str">
            <v>성취도 5단계+석차등급O</v>
          </cell>
        </row>
        <row r="111">
          <cell r="B111" t="str">
            <v>데이터 과학</v>
          </cell>
          <cell r="C111" t="str">
            <v>진로</v>
          </cell>
          <cell r="D111">
            <v>4</v>
          </cell>
          <cell r="E111" t="str">
            <v>성취도 5단계+석차등급O</v>
          </cell>
        </row>
        <row r="112">
          <cell r="B112" t="str">
            <v>소프트웨어와 생활</v>
          </cell>
          <cell r="C112" t="str">
            <v>융합</v>
          </cell>
          <cell r="D112">
            <v>4</v>
          </cell>
          <cell r="E112" t="str">
            <v>성취도 5단계+석차등급O</v>
          </cell>
        </row>
        <row r="113">
          <cell r="B113" t="str">
            <v>독일어</v>
          </cell>
          <cell r="C113" t="str">
            <v>일반</v>
          </cell>
          <cell r="D113">
            <v>4</v>
          </cell>
          <cell r="E113" t="str">
            <v>성취도 5단계+석차등급O</v>
          </cell>
        </row>
        <row r="114">
          <cell r="B114" t="str">
            <v>프랑스어</v>
          </cell>
          <cell r="C114" t="str">
            <v>일반</v>
          </cell>
          <cell r="D114">
            <v>4</v>
          </cell>
          <cell r="E114" t="str">
            <v>성취도 5단계+석차등급O</v>
          </cell>
        </row>
        <row r="115">
          <cell r="B115" t="str">
            <v>스페인어</v>
          </cell>
          <cell r="C115" t="str">
            <v>일반</v>
          </cell>
          <cell r="D115">
            <v>4</v>
          </cell>
          <cell r="E115" t="str">
            <v>성취도 5단계+석차등급O</v>
          </cell>
        </row>
        <row r="116">
          <cell r="B116" t="str">
            <v>중국어</v>
          </cell>
          <cell r="C116" t="str">
            <v>일반</v>
          </cell>
          <cell r="D116">
            <v>4</v>
          </cell>
          <cell r="E116" t="str">
            <v>성취도 5단계+석차등급O</v>
          </cell>
        </row>
        <row r="117">
          <cell r="B117" t="str">
            <v>일본어</v>
          </cell>
          <cell r="C117" t="str">
            <v>일반</v>
          </cell>
          <cell r="D117">
            <v>4</v>
          </cell>
          <cell r="E117" t="str">
            <v>성취도 5단계+석차등급O</v>
          </cell>
        </row>
        <row r="118">
          <cell r="B118" t="str">
            <v>러시아어</v>
          </cell>
          <cell r="C118" t="str">
            <v>일반</v>
          </cell>
          <cell r="D118">
            <v>4</v>
          </cell>
          <cell r="E118" t="str">
            <v>성취도 5단계+석차등급O</v>
          </cell>
        </row>
        <row r="119">
          <cell r="B119" t="str">
            <v>아랍어</v>
          </cell>
          <cell r="C119" t="str">
            <v>일반</v>
          </cell>
          <cell r="D119">
            <v>4</v>
          </cell>
          <cell r="E119" t="str">
            <v>성취도 5단계+석차등급O</v>
          </cell>
        </row>
        <row r="120">
          <cell r="B120" t="str">
            <v>베트남어</v>
          </cell>
          <cell r="C120" t="str">
            <v>일반</v>
          </cell>
          <cell r="D120">
            <v>4</v>
          </cell>
          <cell r="E120" t="str">
            <v>성취도 5단계+석차등급O</v>
          </cell>
        </row>
        <row r="121">
          <cell r="B121" t="str">
            <v>독일어 회화</v>
          </cell>
          <cell r="C121" t="str">
            <v>진로</v>
          </cell>
          <cell r="D121">
            <v>4</v>
          </cell>
          <cell r="E121" t="str">
            <v>성취도 5단계+석차등급O</v>
          </cell>
        </row>
        <row r="122">
          <cell r="B122" t="str">
            <v>프랑스어 회화</v>
          </cell>
          <cell r="C122" t="str">
            <v>진로</v>
          </cell>
          <cell r="D122">
            <v>4</v>
          </cell>
          <cell r="E122" t="str">
            <v>성취도 5단계+석차등급O</v>
          </cell>
        </row>
        <row r="123">
          <cell r="B123" t="str">
            <v>스페인어 회화</v>
          </cell>
          <cell r="C123" t="str">
            <v>진로</v>
          </cell>
          <cell r="D123">
            <v>4</v>
          </cell>
          <cell r="E123" t="str">
            <v>성취도 5단계+석차등급O</v>
          </cell>
        </row>
        <row r="124">
          <cell r="B124" t="str">
            <v>중국어 회화</v>
          </cell>
          <cell r="C124" t="str">
            <v>진로</v>
          </cell>
          <cell r="D124">
            <v>4</v>
          </cell>
          <cell r="E124" t="str">
            <v>성취도 5단계+석차등급O</v>
          </cell>
        </row>
        <row r="125">
          <cell r="B125" t="str">
            <v>일본어 회화</v>
          </cell>
          <cell r="C125" t="str">
            <v>진로</v>
          </cell>
          <cell r="D125">
            <v>4</v>
          </cell>
          <cell r="E125" t="str">
            <v>성취도 5단계+석차등급O</v>
          </cell>
        </row>
        <row r="126">
          <cell r="B126" t="str">
            <v>러시아어 회화</v>
          </cell>
          <cell r="C126" t="str">
            <v>진로</v>
          </cell>
          <cell r="D126">
            <v>4</v>
          </cell>
          <cell r="E126" t="str">
            <v>성취도 5단계+석차등급O</v>
          </cell>
        </row>
        <row r="127">
          <cell r="B127" t="str">
            <v>아랍어 회화</v>
          </cell>
          <cell r="C127" t="str">
            <v>진로</v>
          </cell>
          <cell r="D127">
            <v>4</v>
          </cell>
          <cell r="E127" t="str">
            <v>성취도 5단계+석차등급O</v>
          </cell>
        </row>
        <row r="128">
          <cell r="B128" t="str">
            <v>베트남어 회화</v>
          </cell>
          <cell r="C128" t="str">
            <v>진로</v>
          </cell>
          <cell r="D128">
            <v>4</v>
          </cell>
          <cell r="E128" t="str">
            <v>성취도 5단계+석차등급O</v>
          </cell>
        </row>
        <row r="129">
          <cell r="B129" t="str">
            <v>심화 독일어</v>
          </cell>
          <cell r="C129" t="str">
            <v>진로</v>
          </cell>
          <cell r="D129">
            <v>4</v>
          </cell>
          <cell r="E129" t="str">
            <v>성취도 5단계+석차등급O</v>
          </cell>
        </row>
        <row r="130">
          <cell r="B130" t="str">
            <v>심화 프랑스어</v>
          </cell>
          <cell r="C130" t="str">
            <v>진로</v>
          </cell>
          <cell r="D130">
            <v>4</v>
          </cell>
          <cell r="E130" t="str">
            <v>성취도 5단계+석차등급O</v>
          </cell>
        </row>
        <row r="131">
          <cell r="B131" t="str">
            <v>심화 스페인어</v>
          </cell>
          <cell r="C131" t="str">
            <v>진로</v>
          </cell>
          <cell r="D131">
            <v>4</v>
          </cell>
          <cell r="E131" t="str">
            <v>성취도 5단계+석차등급O</v>
          </cell>
        </row>
        <row r="132">
          <cell r="B132" t="str">
            <v>심화 중국어</v>
          </cell>
          <cell r="C132" t="str">
            <v>진로</v>
          </cell>
          <cell r="D132">
            <v>4</v>
          </cell>
          <cell r="E132" t="str">
            <v>성취도 5단계+석차등급O</v>
          </cell>
        </row>
        <row r="133">
          <cell r="B133" t="str">
            <v>심화 일본어</v>
          </cell>
          <cell r="C133" t="str">
            <v>진로</v>
          </cell>
          <cell r="D133">
            <v>4</v>
          </cell>
          <cell r="E133" t="str">
            <v>성취도 5단계+석차등급O</v>
          </cell>
        </row>
        <row r="134">
          <cell r="B134" t="str">
            <v>심화 러시아어</v>
          </cell>
          <cell r="C134" t="str">
            <v>진로</v>
          </cell>
          <cell r="D134">
            <v>4</v>
          </cell>
          <cell r="E134" t="str">
            <v>성취도 5단계+석차등급O</v>
          </cell>
        </row>
        <row r="135">
          <cell r="B135" t="str">
            <v>심화 아랍어</v>
          </cell>
          <cell r="C135" t="str">
            <v>진로</v>
          </cell>
          <cell r="D135">
            <v>4</v>
          </cell>
          <cell r="E135" t="str">
            <v>성취도 5단계+석차등급O</v>
          </cell>
        </row>
        <row r="136">
          <cell r="B136" t="str">
            <v>심화 베트남어</v>
          </cell>
          <cell r="C136" t="str">
            <v>진로</v>
          </cell>
          <cell r="D136">
            <v>4</v>
          </cell>
          <cell r="E136" t="str">
            <v>성취도 5단계+석차등급O</v>
          </cell>
        </row>
        <row r="137">
          <cell r="B137" t="str">
            <v>독일어권 문화</v>
          </cell>
          <cell r="C137" t="str">
            <v>융합</v>
          </cell>
          <cell r="D137">
            <v>4</v>
          </cell>
          <cell r="E137" t="str">
            <v>성취도 5단계+석차등급O</v>
          </cell>
        </row>
        <row r="138">
          <cell r="B138" t="str">
            <v>프랑스어권 문화</v>
          </cell>
          <cell r="C138" t="str">
            <v>융합</v>
          </cell>
          <cell r="D138">
            <v>4</v>
          </cell>
          <cell r="E138" t="str">
            <v>성취도 5단계+석차등급O</v>
          </cell>
        </row>
        <row r="139">
          <cell r="B139" t="str">
            <v>스페인어권 문화</v>
          </cell>
          <cell r="C139" t="str">
            <v>융합</v>
          </cell>
          <cell r="D139">
            <v>4</v>
          </cell>
          <cell r="E139" t="str">
            <v>성취도 5단계+석차등급O</v>
          </cell>
        </row>
        <row r="140">
          <cell r="B140" t="str">
            <v>중국 문화</v>
          </cell>
          <cell r="C140" t="str">
            <v>융합</v>
          </cell>
          <cell r="D140">
            <v>4</v>
          </cell>
          <cell r="E140" t="str">
            <v>성취도 5단계+석차등급O</v>
          </cell>
        </row>
        <row r="141">
          <cell r="B141" t="str">
            <v>일본 문화</v>
          </cell>
          <cell r="C141" t="str">
            <v>융합</v>
          </cell>
          <cell r="D141">
            <v>4</v>
          </cell>
          <cell r="E141" t="str">
            <v>성취도 5단계+석차등급O</v>
          </cell>
        </row>
        <row r="142">
          <cell r="B142" t="str">
            <v>러시아 문화</v>
          </cell>
          <cell r="C142" t="str">
            <v>융합</v>
          </cell>
          <cell r="D142">
            <v>4</v>
          </cell>
          <cell r="E142" t="str">
            <v>성취도 5단계+석차등급O</v>
          </cell>
        </row>
        <row r="143">
          <cell r="B143" t="str">
            <v>아랍 문화</v>
          </cell>
          <cell r="C143" t="str">
            <v>융합</v>
          </cell>
          <cell r="D143">
            <v>4</v>
          </cell>
          <cell r="E143" t="str">
            <v>성취도 5단계+석차등급O</v>
          </cell>
        </row>
        <row r="144">
          <cell r="B144" t="str">
            <v>베트남 문화</v>
          </cell>
          <cell r="C144" t="str">
            <v>융합</v>
          </cell>
          <cell r="D144">
            <v>4</v>
          </cell>
          <cell r="E144" t="str">
            <v>성취도 5단계+석차등급O</v>
          </cell>
        </row>
        <row r="145">
          <cell r="B145" t="str">
            <v>한문</v>
          </cell>
          <cell r="C145" t="str">
            <v>일반</v>
          </cell>
          <cell r="D145">
            <v>4</v>
          </cell>
          <cell r="E145" t="str">
            <v>성취도 5단계+석차등급O</v>
          </cell>
        </row>
        <row r="146">
          <cell r="B146" t="str">
            <v>한문 고전 읽기</v>
          </cell>
          <cell r="C146" t="str">
            <v>진로</v>
          </cell>
          <cell r="D146">
            <v>4</v>
          </cell>
          <cell r="E146" t="str">
            <v>성취도 5단계+석차등급O</v>
          </cell>
        </row>
        <row r="147">
          <cell r="B147" t="str">
            <v>언어생활과 한자</v>
          </cell>
          <cell r="C147" t="str">
            <v>융합</v>
          </cell>
          <cell r="D147">
            <v>4</v>
          </cell>
          <cell r="E147" t="str">
            <v>성취도 5단계+석차등급O</v>
          </cell>
        </row>
        <row r="148">
          <cell r="B148" t="str">
            <v>진로와 직업</v>
          </cell>
          <cell r="C148" t="str">
            <v>일반</v>
          </cell>
          <cell r="D148">
            <v>3</v>
          </cell>
          <cell r="E148" t="str">
            <v>이수/미이수</v>
          </cell>
        </row>
        <row r="149">
          <cell r="B149" t="str">
            <v>생태와 환경</v>
          </cell>
          <cell r="C149" t="str">
            <v>일반</v>
          </cell>
          <cell r="D149">
            <v>3</v>
          </cell>
          <cell r="E149" t="str">
            <v>이수/미이수</v>
          </cell>
        </row>
        <row r="150">
          <cell r="B150" t="str">
            <v>인간과 철학</v>
          </cell>
          <cell r="C150" t="str">
            <v>진로</v>
          </cell>
          <cell r="D150">
            <v>3</v>
          </cell>
          <cell r="E150" t="str">
            <v>이수/미이수</v>
          </cell>
        </row>
        <row r="151">
          <cell r="B151" t="str">
            <v>논리와 사고</v>
          </cell>
          <cell r="C151" t="str">
            <v>진로</v>
          </cell>
          <cell r="D151">
            <v>3</v>
          </cell>
          <cell r="E151" t="str">
            <v>이수/미이수</v>
          </cell>
        </row>
        <row r="152">
          <cell r="B152" t="str">
            <v>인간과 심리</v>
          </cell>
          <cell r="C152" t="str">
            <v>진로</v>
          </cell>
          <cell r="D152">
            <v>3</v>
          </cell>
          <cell r="E152" t="str">
            <v>이수/미이수</v>
          </cell>
        </row>
        <row r="153">
          <cell r="B153" t="str">
            <v>교육의 이해</v>
          </cell>
          <cell r="C153" t="str">
            <v>진로</v>
          </cell>
          <cell r="D153">
            <v>3</v>
          </cell>
          <cell r="E153" t="str">
            <v>이수/미이수</v>
          </cell>
        </row>
        <row r="154">
          <cell r="B154" t="str">
            <v>삶과 종교</v>
          </cell>
          <cell r="C154" t="str">
            <v>진로</v>
          </cell>
          <cell r="D154">
            <v>3</v>
          </cell>
          <cell r="E154" t="str">
            <v>이수/미이수</v>
          </cell>
        </row>
        <row r="155">
          <cell r="B155" t="str">
            <v>보건</v>
          </cell>
          <cell r="C155" t="str">
            <v>진로</v>
          </cell>
          <cell r="D155">
            <v>3</v>
          </cell>
          <cell r="E155" t="str">
            <v>이수/미이수</v>
          </cell>
        </row>
        <row r="156">
          <cell r="B156" t="str">
            <v>인간과 경제활동</v>
          </cell>
          <cell r="C156" t="str">
            <v>융합</v>
          </cell>
          <cell r="D156">
            <v>3</v>
          </cell>
          <cell r="E156" t="str">
            <v>이수/미이수</v>
          </cell>
        </row>
        <row r="157">
          <cell r="B157" t="str">
            <v>논술</v>
          </cell>
          <cell r="C157" t="str">
            <v>융합</v>
          </cell>
          <cell r="D157">
            <v>3</v>
          </cell>
          <cell r="E157" t="str">
            <v>이수/미이수</v>
          </cell>
        </row>
        <row r="158">
          <cell r="B158" t="str">
            <v>전문 수학</v>
          </cell>
          <cell r="C158" t="str">
            <v>진로</v>
          </cell>
          <cell r="D158">
            <v>4</v>
          </cell>
          <cell r="E158" t="str">
            <v>성취도 5단계+석차등급O</v>
          </cell>
        </row>
        <row r="159">
          <cell r="B159" t="str">
            <v>이산 수학</v>
          </cell>
          <cell r="C159" t="str">
            <v>진로</v>
          </cell>
          <cell r="D159">
            <v>4</v>
          </cell>
          <cell r="E159" t="str">
            <v>성취도 5단계+석차등급O</v>
          </cell>
        </row>
        <row r="160">
          <cell r="B160" t="str">
            <v>고급 기하</v>
          </cell>
          <cell r="C160" t="str">
            <v>진로</v>
          </cell>
          <cell r="D160">
            <v>4</v>
          </cell>
          <cell r="E160" t="str">
            <v>성취도 5단계+석차등급O</v>
          </cell>
        </row>
        <row r="161">
          <cell r="B161" t="str">
            <v>고급 대수</v>
          </cell>
          <cell r="C161" t="str">
            <v>진로</v>
          </cell>
          <cell r="D161">
            <v>4</v>
          </cell>
          <cell r="E161" t="str">
            <v>성취도 5단계+석차등급O</v>
          </cell>
        </row>
        <row r="162">
          <cell r="B162" t="str">
            <v>고급 미적분</v>
          </cell>
          <cell r="C162" t="str">
            <v>진로</v>
          </cell>
          <cell r="D162">
            <v>4</v>
          </cell>
          <cell r="E162" t="str">
            <v>성취도 5단계+석차등급O</v>
          </cell>
        </row>
        <row r="163">
          <cell r="B163" t="str">
            <v>고급 물리학</v>
          </cell>
          <cell r="C163" t="str">
            <v>진로</v>
          </cell>
          <cell r="D163">
            <v>4</v>
          </cell>
          <cell r="E163" t="str">
            <v>성취도 5단계+석차등급O</v>
          </cell>
        </row>
        <row r="164">
          <cell r="B164" t="str">
            <v>고급 화학</v>
          </cell>
          <cell r="C164" t="str">
            <v>진로</v>
          </cell>
          <cell r="D164">
            <v>4</v>
          </cell>
          <cell r="E164" t="str">
            <v>성취도 5단계+석차등급O</v>
          </cell>
        </row>
        <row r="165">
          <cell r="B165" t="str">
            <v>고급 생명과학</v>
          </cell>
          <cell r="C165" t="str">
            <v>진로</v>
          </cell>
          <cell r="D165">
            <v>4</v>
          </cell>
          <cell r="E165" t="str">
            <v>성취도 5단계+석차등급O</v>
          </cell>
        </row>
        <row r="166">
          <cell r="B166" t="str">
            <v>고급 지구과학</v>
          </cell>
          <cell r="C166" t="str">
            <v>진로</v>
          </cell>
          <cell r="D166">
            <v>4</v>
          </cell>
          <cell r="E166" t="str">
            <v>성취도 5단계+석차등급O</v>
          </cell>
        </row>
        <row r="167">
          <cell r="B167" t="str">
            <v>과학과제 연구</v>
          </cell>
          <cell r="C167" t="str">
            <v>진로</v>
          </cell>
          <cell r="D167">
            <v>4</v>
          </cell>
          <cell r="E167" t="str">
            <v>성취도 5단계+석차등급O</v>
          </cell>
        </row>
        <row r="168">
          <cell r="B168" t="str">
            <v>물리학 실험</v>
          </cell>
          <cell r="C168" t="str">
            <v>융합</v>
          </cell>
          <cell r="D168">
            <v>4</v>
          </cell>
          <cell r="E168" t="str">
            <v>성취도 5단계+석차등급O</v>
          </cell>
        </row>
        <row r="169">
          <cell r="B169" t="str">
            <v>화학 실험</v>
          </cell>
          <cell r="C169" t="str">
            <v>융합</v>
          </cell>
          <cell r="D169">
            <v>4</v>
          </cell>
          <cell r="E169" t="str">
            <v>성취도 5단계+석차등급O</v>
          </cell>
        </row>
        <row r="170">
          <cell r="B170" t="str">
            <v>생명과학 실험</v>
          </cell>
          <cell r="C170" t="str">
            <v>융합</v>
          </cell>
          <cell r="D170">
            <v>4</v>
          </cell>
          <cell r="E170" t="str">
            <v>성취도 5단계+석차등급O</v>
          </cell>
        </row>
        <row r="171">
          <cell r="B171" t="str">
            <v>지구과학 실험</v>
          </cell>
          <cell r="C171" t="str">
            <v>융합</v>
          </cell>
          <cell r="D171">
            <v>4</v>
          </cell>
          <cell r="E171" t="str">
            <v>성취도 5단계+석차등급O</v>
          </cell>
        </row>
        <row r="172">
          <cell r="B172" t="str">
            <v>정보과학</v>
          </cell>
          <cell r="C172" t="str">
            <v>진로</v>
          </cell>
          <cell r="D172">
            <v>4</v>
          </cell>
          <cell r="E172" t="str">
            <v>성취도 5단계+석차등급O</v>
          </cell>
        </row>
        <row r="173">
          <cell r="B173" t="str">
            <v>스포츠 개론</v>
          </cell>
          <cell r="C173" t="str">
            <v>진로</v>
          </cell>
          <cell r="D173">
            <v>3</v>
          </cell>
          <cell r="E173" t="str">
            <v>성취도 5단계+석차등급O</v>
          </cell>
        </row>
        <row r="174">
          <cell r="B174" t="str">
            <v>육상</v>
          </cell>
          <cell r="C174" t="str">
            <v>진로</v>
          </cell>
          <cell r="D174">
            <v>3</v>
          </cell>
          <cell r="E174" t="str">
            <v>성취도 5단계+석차등급O</v>
          </cell>
        </row>
        <row r="175">
          <cell r="B175" t="str">
            <v>체조</v>
          </cell>
          <cell r="C175" t="str">
            <v>진로</v>
          </cell>
          <cell r="D175">
            <v>3</v>
          </cell>
          <cell r="E175" t="str">
            <v>성취도 5단계+석차등급O</v>
          </cell>
        </row>
        <row r="176">
          <cell r="B176" t="str">
            <v>수상 스포츠</v>
          </cell>
          <cell r="C176" t="str">
            <v>진로</v>
          </cell>
          <cell r="D176">
            <v>3</v>
          </cell>
          <cell r="E176" t="str">
            <v>성취도 5단계+석차등급O</v>
          </cell>
        </row>
        <row r="177">
          <cell r="B177" t="str">
            <v>기초 체육 전공 실기</v>
          </cell>
          <cell r="C177" t="str">
            <v>진로</v>
          </cell>
          <cell r="D177">
            <v>3</v>
          </cell>
          <cell r="E177" t="str">
            <v>성취도 5단계+석차등급O</v>
          </cell>
        </row>
        <row r="178">
          <cell r="B178" t="str">
            <v>심화 체육 전공 실기</v>
          </cell>
          <cell r="C178" t="str">
            <v>진로</v>
          </cell>
          <cell r="D178">
            <v>3</v>
          </cell>
          <cell r="E178" t="str">
            <v>성취도 5단계+석차등급O</v>
          </cell>
        </row>
        <row r="179">
          <cell r="B179" t="str">
            <v>고급 체육 전공 실기</v>
          </cell>
          <cell r="C179" t="str">
            <v>진로</v>
          </cell>
          <cell r="D179">
            <v>3</v>
          </cell>
          <cell r="E179" t="str">
            <v>성취도 5단계+석차등급O</v>
          </cell>
        </row>
        <row r="180">
          <cell r="B180" t="str">
            <v>스포츠 경기 체력</v>
          </cell>
          <cell r="C180" t="str">
            <v>진로</v>
          </cell>
          <cell r="D180">
            <v>3</v>
          </cell>
          <cell r="E180" t="str">
            <v>성취도 5단계+석차등급O</v>
          </cell>
        </row>
        <row r="181">
          <cell r="B181" t="str">
            <v>스포츠 경기 기술</v>
          </cell>
          <cell r="C181" t="str">
            <v>진로</v>
          </cell>
          <cell r="D181">
            <v>3</v>
          </cell>
          <cell r="E181" t="str">
            <v>성취도 5단계+석차등급O</v>
          </cell>
        </row>
        <row r="182">
          <cell r="B182" t="str">
            <v>스포츠 경기 분석</v>
          </cell>
          <cell r="C182" t="str">
            <v>진로</v>
          </cell>
          <cell r="D182">
            <v>3</v>
          </cell>
          <cell r="E182" t="str">
            <v>성취도 5단계+석차등급O</v>
          </cell>
        </row>
        <row r="183">
          <cell r="B183" t="str">
            <v>스포츠 교육</v>
          </cell>
          <cell r="C183" t="str">
            <v>융합</v>
          </cell>
          <cell r="D183">
            <v>3</v>
          </cell>
          <cell r="E183" t="str">
            <v>성취도 5단계+석차등급O</v>
          </cell>
        </row>
        <row r="184">
          <cell r="B184" t="str">
            <v>스포츠 생리의학</v>
          </cell>
          <cell r="C184" t="str">
            <v>융합</v>
          </cell>
          <cell r="D184">
            <v>3</v>
          </cell>
          <cell r="E184" t="str">
            <v>성취도 5단계+석차등급O</v>
          </cell>
        </row>
        <row r="185">
          <cell r="B185" t="str">
            <v>스포츠 행정 및 경영</v>
          </cell>
          <cell r="C185" t="str">
            <v>융합</v>
          </cell>
          <cell r="D185">
            <v>3</v>
          </cell>
          <cell r="E185" t="str">
            <v>성취도 5단계+석차등급O</v>
          </cell>
        </row>
        <row r="186">
          <cell r="B186" t="str">
            <v>음악 이론</v>
          </cell>
          <cell r="C186" t="str">
            <v>진로</v>
          </cell>
          <cell r="D186">
            <v>3</v>
          </cell>
          <cell r="E186" t="str">
            <v>성취도 5단계+석차등급O</v>
          </cell>
        </row>
        <row r="187">
          <cell r="B187" t="str">
            <v>음악사</v>
          </cell>
          <cell r="C187" t="str">
            <v>진로</v>
          </cell>
          <cell r="D187">
            <v>3</v>
          </cell>
          <cell r="E187" t="str">
            <v>성취도 5단계+석차등급O</v>
          </cell>
        </row>
        <row r="188">
          <cell r="B188" t="str">
            <v>시창·청음</v>
          </cell>
          <cell r="C188" t="str">
            <v>진로</v>
          </cell>
          <cell r="D188">
            <v>3</v>
          </cell>
          <cell r="E188" t="str">
            <v>성취도 5단계+석차등급O</v>
          </cell>
        </row>
        <row r="189">
          <cell r="B189" t="str">
            <v>음악 전공 실기</v>
          </cell>
          <cell r="C189" t="str">
            <v>진로</v>
          </cell>
          <cell r="D189">
            <v>3</v>
          </cell>
          <cell r="E189" t="str">
            <v>성취도 5단계+석차등급O</v>
          </cell>
        </row>
        <row r="190">
          <cell r="B190" t="str">
            <v>합창·합주</v>
          </cell>
          <cell r="C190" t="str">
            <v>진로</v>
          </cell>
          <cell r="D190">
            <v>3</v>
          </cell>
          <cell r="E190" t="str">
            <v>성취도 5단계+석차등급O</v>
          </cell>
        </row>
        <row r="191">
          <cell r="B191" t="str">
            <v>음악 공연 실습</v>
          </cell>
          <cell r="C191" t="str">
            <v>진로</v>
          </cell>
          <cell r="D191">
            <v>3</v>
          </cell>
          <cell r="E191" t="str">
            <v>성취도 5단계+석차등급O</v>
          </cell>
        </row>
        <row r="192">
          <cell r="B192" t="str">
            <v>미술 이론</v>
          </cell>
          <cell r="C192" t="str">
            <v>진로</v>
          </cell>
          <cell r="D192">
            <v>3</v>
          </cell>
          <cell r="E192" t="str">
            <v>성취도 5단계+석차등급O</v>
          </cell>
        </row>
        <row r="193">
          <cell r="B193" t="str">
            <v>드로잉</v>
          </cell>
          <cell r="C193" t="str">
            <v>진로</v>
          </cell>
          <cell r="D193">
            <v>3</v>
          </cell>
          <cell r="E193" t="str">
            <v>성취도 5단계+석차등급O</v>
          </cell>
        </row>
        <row r="194">
          <cell r="B194" t="str">
            <v>미술사</v>
          </cell>
          <cell r="C194" t="str">
            <v>진로</v>
          </cell>
          <cell r="D194">
            <v>3</v>
          </cell>
          <cell r="E194" t="str">
            <v>성취도 5단계+석차등급O</v>
          </cell>
        </row>
        <row r="195">
          <cell r="B195" t="str">
            <v>미술 전공 실기</v>
          </cell>
          <cell r="C195" t="str">
            <v>진로</v>
          </cell>
          <cell r="D195">
            <v>3</v>
          </cell>
          <cell r="E195" t="str">
            <v>성취도 5단계+석차등급O</v>
          </cell>
        </row>
        <row r="196">
          <cell r="B196" t="str">
            <v>조형 탐구</v>
          </cell>
          <cell r="C196" t="str">
            <v>진로</v>
          </cell>
          <cell r="D196">
            <v>3</v>
          </cell>
          <cell r="E196" t="str">
            <v>성취도 5단계+석차등급O</v>
          </cell>
        </row>
        <row r="197">
          <cell r="B197" t="str">
            <v>무용의 이해</v>
          </cell>
          <cell r="C197" t="str">
            <v>진로</v>
          </cell>
          <cell r="D197">
            <v>3</v>
          </cell>
          <cell r="E197" t="str">
            <v>성취도 5단계+석차등급O</v>
          </cell>
        </row>
        <row r="198">
          <cell r="B198" t="str">
            <v>무용과 몸</v>
          </cell>
          <cell r="C198" t="str">
            <v>진로</v>
          </cell>
          <cell r="D198">
            <v>3</v>
          </cell>
          <cell r="E198" t="str">
            <v>성취도 5단계+석차등급O</v>
          </cell>
        </row>
        <row r="199">
          <cell r="B199" t="str">
            <v>무용 기초 실기</v>
          </cell>
          <cell r="C199" t="str">
            <v>진로</v>
          </cell>
          <cell r="D199">
            <v>3</v>
          </cell>
          <cell r="E199" t="str">
            <v>성취도 5단계+석차등급O</v>
          </cell>
        </row>
        <row r="200">
          <cell r="B200" t="str">
            <v>무용 전공 실기</v>
          </cell>
          <cell r="C200" t="str">
            <v>진로</v>
          </cell>
          <cell r="D200">
            <v>3</v>
          </cell>
          <cell r="E200" t="str">
            <v>성취도 5단계+석차등급O</v>
          </cell>
        </row>
        <row r="201">
          <cell r="B201" t="str">
            <v>안무</v>
          </cell>
          <cell r="C201" t="str">
            <v>진로</v>
          </cell>
          <cell r="D201">
            <v>3</v>
          </cell>
          <cell r="E201" t="str">
            <v>성취도 5단계+석차등급O</v>
          </cell>
        </row>
        <row r="202">
          <cell r="B202" t="str">
            <v>무용 제작 실습</v>
          </cell>
          <cell r="C202" t="str">
            <v>진로</v>
          </cell>
          <cell r="D202">
            <v>3</v>
          </cell>
          <cell r="E202" t="str">
            <v>성취도 5단계+석차등급O</v>
          </cell>
        </row>
        <row r="203">
          <cell r="B203" t="str">
            <v>무용 감상과 비평</v>
          </cell>
          <cell r="C203" t="str">
            <v>진로</v>
          </cell>
          <cell r="D203">
            <v>3</v>
          </cell>
          <cell r="E203" t="str">
            <v>성취도 5단계+석차등급O</v>
          </cell>
        </row>
        <row r="204">
          <cell r="B204" t="str">
            <v>문예 창작의 이해</v>
          </cell>
          <cell r="C204" t="str">
            <v>진로</v>
          </cell>
          <cell r="D204">
            <v>3</v>
          </cell>
          <cell r="E204" t="str">
            <v>성취도 5단계+석차등급O</v>
          </cell>
        </row>
        <row r="205">
          <cell r="B205" t="str">
            <v>문장론</v>
          </cell>
          <cell r="C205" t="str">
            <v>진로</v>
          </cell>
          <cell r="D205">
            <v>3</v>
          </cell>
          <cell r="E205" t="str">
            <v>성취도 5단계+석차등급O</v>
          </cell>
        </row>
        <row r="206">
          <cell r="B206" t="str">
            <v>문학 감상과 비평</v>
          </cell>
          <cell r="C206" t="str">
            <v>진로</v>
          </cell>
          <cell r="D206">
            <v>3</v>
          </cell>
          <cell r="E206" t="str">
            <v>성취도 5단계+석차등급O</v>
          </cell>
        </row>
        <row r="207">
          <cell r="B207" t="str">
            <v>시 창작</v>
          </cell>
          <cell r="C207" t="str">
            <v>진로</v>
          </cell>
          <cell r="D207">
            <v>3</v>
          </cell>
          <cell r="E207" t="str">
            <v>성취도 5단계+석차등급O</v>
          </cell>
        </row>
        <row r="208">
          <cell r="B208" t="str">
            <v>소설 창작</v>
          </cell>
          <cell r="C208" t="str">
            <v>진로</v>
          </cell>
          <cell r="D208">
            <v>3</v>
          </cell>
          <cell r="E208" t="str">
            <v>성취도 5단계+석차등급O</v>
          </cell>
        </row>
        <row r="209">
          <cell r="B209" t="str">
            <v>극 창작</v>
          </cell>
          <cell r="C209" t="str">
            <v>진로</v>
          </cell>
          <cell r="D209">
            <v>3</v>
          </cell>
          <cell r="E209" t="str">
            <v>성취도 5단계+석차등급O</v>
          </cell>
        </row>
        <row r="210">
          <cell r="B210" t="str">
            <v>연극과 몸</v>
          </cell>
          <cell r="C210" t="str">
            <v>진로</v>
          </cell>
          <cell r="D210">
            <v>3</v>
          </cell>
          <cell r="E210" t="str">
            <v>성취도 5단계+석차등급O</v>
          </cell>
        </row>
        <row r="211">
          <cell r="B211" t="str">
            <v>연극과 말</v>
          </cell>
          <cell r="C211" t="str">
            <v>진로</v>
          </cell>
          <cell r="D211">
            <v>3</v>
          </cell>
          <cell r="E211" t="str">
            <v>성취도 5단계+석차등급O</v>
          </cell>
        </row>
        <row r="212">
          <cell r="B212" t="str">
            <v>연기</v>
          </cell>
          <cell r="C212" t="str">
            <v>진로</v>
          </cell>
          <cell r="D212">
            <v>3</v>
          </cell>
          <cell r="E212" t="str">
            <v>성취도 5단계+석차등급O</v>
          </cell>
        </row>
        <row r="213">
          <cell r="B213" t="str">
            <v>무대 미술과 기술</v>
          </cell>
          <cell r="C213" t="str">
            <v>진로</v>
          </cell>
          <cell r="D213">
            <v>3</v>
          </cell>
          <cell r="E213" t="str">
            <v>성취도 5단계+석차등급O</v>
          </cell>
        </row>
        <row r="214">
          <cell r="B214" t="str">
            <v>연극 제작 실습</v>
          </cell>
          <cell r="C214" t="str">
            <v>진로</v>
          </cell>
          <cell r="D214">
            <v>3</v>
          </cell>
          <cell r="E214" t="str">
            <v>성취도 5단계+석차등급O</v>
          </cell>
        </row>
        <row r="215">
          <cell r="B215" t="str">
            <v>연극 감상과 비평</v>
          </cell>
          <cell r="C215" t="str">
            <v>진로</v>
          </cell>
          <cell r="D215">
            <v>3</v>
          </cell>
          <cell r="E215" t="str">
            <v>성취도 5단계+석차등급O</v>
          </cell>
        </row>
        <row r="216">
          <cell r="B216" t="str">
            <v>영화의 이해</v>
          </cell>
          <cell r="C216" t="str">
            <v>진로</v>
          </cell>
          <cell r="D216">
            <v>3</v>
          </cell>
          <cell r="E216" t="str">
            <v>성취도 5단계+석차등급O</v>
          </cell>
        </row>
        <row r="217">
          <cell r="B217" t="str">
            <v>촬영·조명</v>
          </cell>
          <cell r="C217" t="str">
            <v>진로</v>
          </cell>
          <cell r="D217">
            <v>3</v>
          </cell>
          <cell r="E217" t="str">
            <v>성취도 5단계+석차등급O</v>
          </cell>
        </row>
        <row r="218">
          <cell r="B218" t="str">
            <v>편집·사운드</v>
          </cell>
          <cell r="C218" t="str">
            <v>진로</v>
          </cell>
          <cell r="D218">
            <v>3</v>
          </cell>
          <cell r="E218" t="str">
            <v>성취도 5단계+석차등급O</v>
          </cell>
        </row>
        <row r="219">
          <cell r="B219" t="str">
            <v>영화 제작 실습</v>
          </cell>
          <cell r="C219" t="str">
            <v>진로</v>
          </cell>
          <cell r="D219">
            <v>3</v>
          </cell>
          <cell r="E219" t="str">
            <v>성취도 5단계+석차등급O</v>
          </cell>
        </row>
        <row r="220">
          <cell r="B220" t="str">
            <v>영화 감상과 비평</v>
          </cell>
          <cell r="C220" t="str">
            <v>진로</v>
          </cell>
          <cell r="D220">
            <v>3</v>
          </cell>
          <cell r="E220" t="str">
            <v>성취도 5단계+석차등급O</v>
          </cell>
        </row>
        <row r="221">
          <cell r="B221" t="str">
            <v>사진의 이해</v>
          </cell>
          <cell r="C221" t="str">
            <v>진로</v>
          </cell>
          <cell r="D221">
            <v>3</v>
          </cell>
          <cell r="E221" t="str">
            <v>성취도 5단계+석차등급O</v>
          </cell>
        </row>
        <row r="222">
          <cell r="B222" t="str">
            <v>사진 촬영</v>
          </cell>
          <cell r="C222" t="str">
            <v>진로</v>
          </cell>
          <cell r="D222">
            <v>3</v>
          </cell>
          <cell r="E222" t="str">
            <v>성취도 5단계+석차등급O</v>
          </cell>
        </row>
        <row r="223">
          <cell r="B223" t="str">
            <v>사진 표현 기법</v>
          </cell>
          <cell r="C223" t="str">
            <v>진로</v>
          </cell>
          <cell r="D223">
            <v>3</v>
          </cell>
          <cell r="E223" t="str">
            <v>성취도 5단계+석차등급O</v>
          </cell>
        </row>
        <row r="224">
          <cell r="B224" t="str">
            <v>영상 제작의 이해</v>
          </cell>
          <cell r="C224" t="str">
            <v>진로</v>
          </cell>
          <cell r="D224">
            <v>3</v>
          </cell>
          <cell r="E224" t="str">
            <v>성취도 5단계+석차등급O</v>
          </cell>
        </row>
        <row r="225">
          <cell r="B225" t="str">
            <v>사진 감상과 비평</v>
          </cell>
          <cell r="C225" t="str">
            <v>진로</v>
          </cell>
          <cell r="D225">
            <v>3</v>
          </cell>
          <cell r="E225" t="str">
            <v>성취도 5단계+석차등급O</v>
          </cell>
        </row>
        <row r="226">
          <cell r="B226" t="str">
            <v>음악과 문화</v>
          </cell>
          <cell r="C226" t="str">
            <v>융합</v>
          </cell>
          <cell r="D226">
            <v>3</v>
          </cell>
          <cell r="E226" t="str">
            <v>성취도 5단계+석차등급O</v>
          </cell>
        </row>
        <row r="227">
          <cell r="B227" t="str">
            <v>미술 매체 탐구</v>
          </cell>
          <cell r="C227" t="str">
            <v>융합</v>
          </cell>
          <cell r="D227">
            <v>3</v>
          </cell>
          <cell r="E227" t="str">
            <v>성취도 5단계+석차등급O</v>
          </cell>
        </row>
        <row r="228">
          <cell r="B228" t="str">
            <v>미술과 사회</v>
          </cell>
          <cell r="C228" t="str">
            <v>융합</v>
          </cell>
          <cell r="D228">
            <v>3</v>
          </cell>
          <cell r="E228" t="str">
            <v>성취도 5단계+석차등급O</v>
          </cell>
        </row>
        <row r="229">
          <cell r="B229" t="str">
            <v>무용과 매체</v>
          </cell>
          <cell r="C229" t="str">
            <v>융합</v>
          </cell>
          <cell r="D229">
            <v>3</v>
          </cell>
          <cell r="E229" t="str">
            <v>성취도 5단계+석차등급O</v>
          </cell>
        </row>
        <row r="230">
          <cell r="B230" t="str">
            <v>문학과 매체</v>
          </cell>
          <cell r="C230" t="str">
            <v>융합</v>
          </cell>
          <cell r="D230">
            <v>3</v>
          </cell>
          <cell r="E230" t="str">
            <v>성취도 5단계+석차등급O</v>
          </cell>
        </row>
        <row r="231">
          <cell r="B231" t="str">
            <v>연극과 삶</v>
          </cell>
          <cell r="C231" t="str">
            <v>융합</v>
          </cell>
          <cell r="D231">
            <v>3</v>
          </cell>
          <cell r="E231" t="str">
            <v>성취도 5단계+석차등급O</v>
          </cell>
        </row>
        <row r="232">
          <cell r="B232" t="str">
            <v>영화와 삶</v>
          </cell>
          <cell r="C232" t="str">
            <v>융합</v>
          </cell>
          <cell r="D232">
            <v>3</v>
          </cell>
          <cell r="E232" t="str">
            <v>성취도 5단계+석차등급O</v>
          </cell>
        </row>
        <row r="233">
          <cell r="B233" t="str">
            <v>사진과 삶</v>
          </cell>
          <cell r="C233" t="str">
            <v>융합</v>
          </cell>
          <cell r="D233">
            <v>3</v>
          </cell>
          <cell r="E233" t="str">
            <v>성취도 5단계+석차등급O</v>
          </cell>
        </row>
        <row r="234">
          <cell r="B234" t="str">
            <v>심화 영어 회화Ⅰ</v>
          </cell>
          <cell r="C234" t="str">
            <v>진로</v>
          </cell>
          <cell r="D234">
            <v>4</v>
          </cell>
          <cell r="E234" t="str">
            <v>성취도 5단계+석차등급O</v>
          </cell>
        </row>
        <row r="235">
          <cell r="B235" t="str">
            <v>심화 영어 회화Ⅱ</v>
          </cell>
          <cell r="C235" t="str">
            <v>진로</v>
          </cell>
          <cell r="D235">
            <v>4</v>
          </cell>
          <cell r="E235" t="str">
            <v>성취도 5단계+석차등급O</v>
          </cell>
        </row>
        <row r="236">
          <cell r="B236" t="str">
            <v>심화 영어Ⅰ</v>
          </cell>
          <cell r="C236" t="str">
            <v>진로</v>
          </cell>
          <cell r="D236">
            <v>4</v>
          </cell>
          <cell r="E236" t="str">
            <v>성취도 5단계+석차등급O</v>
          </cell>
        </row>
        <row r="237">
          <cell r="B237" t="str">
            <v>심화 영어Ⅱ</v>
          </cell>
          <cell r="C237" t="str">
            <v>진로</v>
          </cell>
          <cell r="D237">
            <v>4</v>
          </cell>
          <cell r="E237" t="str">
            <v>성취도 5단계+석차등급O</v>
          </cell>
        </row>
        <row r="238">
          <cell r="B238" t="str">
            <v>심화 영어 독해Ⅰ</v>
          </cell>
          <cell r="C238" t="str">
            <v>진로</v>
          </cell>
          <cell r="D238">
            <v>4</v>
          </cell>
          <cell r="E238" t="str">
            <v>성취도 5단계+석차등급O</v>
          </cell>
        </row>
        <row r="239">
          <cell r="B239" t="str">
            <v>심화 영어 독해Ⅱ</v>
          </cell>
          <cell r="C239" t="str">
            <v>진로</v>
          </cell>
          <cell r="D239">
            <v>4</v>
          </cell>
          <cell r="E239" t="str">
            <v>성취도 5단계+석차등급O</v>
          </cell>
        </row>
        <row r="240">
          <cell r="B240" t="str">
            <v>심화 영어 작문Ⅰ</v>
          </cell>
          <cell r="C240" t="str">
            <v>진로</v>
          </cell>
          <cell r="D240">
            <v>4</v>
          </cell>
          <cell r="E240" t="str">
            <v>성취도 5단계+석차등급O</v>
          </cell>
        </row>
        <row r="241">
          <cell r="B241" t="str">
            <v>심화 영어 작문Ⅱ</v>
          </cell>
          <cell r="C241" t="str">
            <v>진로</v>
          </cell>
          <cell r="D241">
            <v>4</v>
          </cell>
          <cell r="E241" t="str">
            <v>성취도 5단계+석차등급O</v>
          </cell>
        </row>
        <row r="242">
          <cell r="B242" t="str">
            <v>국제 정치</v>
          </cell>
          <cell r="C242" t="str">
            <v>진로</v>
          </cell>
          <cell r="D242">
            <v>4</v>
          </cell>
          <cell r="E242" t="str">
            <v>성취도 5단계+석차등급O</v>
          </cell>
        </row>
        <row r="243">
          <cell r="B243" t="str">
            <v>국제 경제</v>
          </cell>
          <cell r="C243" t="str">
            <v>진로</v>
          </cell>
          <cell r="D243">
            <v>4</v>
          </cell>
          <cell r="E243" t="str">
            <v>성취도 5단계+석차등급O</v>
          </cell>
        </row>
        <row r="244">
          <cell r="B244" t="str">
            <v>국제법</v>
          </cell>
          <cell r="C244" t="str">
            <v>진로</v>
          </cell>
          <cell r="D244">
            <v>4</v>
          </cell>
          <cell r="E244" t="str">
            <v>성취도 5단계+석차등급O</v>
          </cell>
        </row>
        <row r="245">
          <cell r="B245" t="str">
            <v>지역 이해</v>
          </cell>
          <cell r="C245" t="str">
            <v>진로</v>
          </cell>
          <cell r="D245">
            <v>4</v>
          </cell>
          <cell r="E245" t="str">
            <v>성취도 5단계+석차등급O</v>
          </cell>
        </row>
        <row r="246">
          <cell r="B246" t="str">
            <v>한국 사회의 이해</v>
          </cell>
          <cell r="C246" t="str">
            <v>진로</v>
          </cell>
          <cell r="D246">
            <v>4</v>
          </cell>
          <cell r="E246" t="str">
            <v>성취도 5단계+석차등급O</v>
          </cell>
        </row>
        <row r="247">
          <cell r="B247" t="str">
            <v>비교 문화</v>
          </cell>
          <cell r="C247" t="str">
            <v>진로</v>
          </cell>
          <cell r="D247">
            <v>4</v>
          </cell>
          <cell r="E247" t="str">
            <v>성취도 5단계+석차등급O</v>
          </cell>
        </row>
        <row r="248">
          <cell r="B248" t="str">
            <v>세계 문제와 미래 사회</v>
          </cell>
          <cell r="C248" t="str">
            <v>진로</v>
          </cell>
          <cell r="D248">
            <v>4</v>
          </cell>
          <cell r="E248" t="str">
            <v>성취도 5단계+석차등급O</v>
          </cell>
        </row>
        <row r="249">
          <cell r="B249" t="str">
            <v>국제 관계와 국제기구</v>
          </cell>
          <cell r="C249" t="str">
            <v>진로</v>
          </cell>
          <cell r="D249">
            <v>4</v>
          </cell>
          <cell r="E249" t="str">
            <v>성취도 5단계+석차등급O</v>
          </cell>
        </row>
        <row r="250">
          <cell r="B250" t="str">
            <v>현대 세계의 변화</v>
          </cell>
          <cell r="C250" t="str">
            <v>진로</v>
          </cell>
          <cell r="D250">
            <v>4</v>
          </cell>
          <cell r="E250" t="str">
            <v>성취도 5단계+석차등급O</v>
          </cell>
        </row>
        <row r="251">
          <cell r="B251" t="str">
            <v>사회 탐구 방법</v>
          </cell>
          <cell r="C251" t="str">
            <v>진로</v>
          </cell>
          <cell r="D251">
            <v>4</v>
          </cell>
          <cell r="E251" t="str">
            <v>성취도 5단계+석차등급O</v>
          </cell>
        </row>
        <row r="252">
          <cell r="B252" t="str">
            <v>사회과제연구</v>
          </cell>
          <cell r="C252" t="str">
            <v>진로</v>
          </cell>
          <cell r="D252">
            <v>4</v>
          </cell>
          <cell r="E252" t="str">
            <v>성취도 5단계+석차등급O</v>
          </cell>
        </row>
        <row r="253">
          <cell r="B253" t="str">
            <v>전공 기초 독일어</v>
          </cell>
          <cell r="C253" t="str">
            <v>진로</v>
          </cell>
          <cell r="D253">
            <v>4</v>
          </cell>
          <cell r="E253" t="str">
            <v>성취도 5단계+석차등급O</v>
          </cell>
        </row>
        <row r="254">
          <cell r="B254" t="str">
            <v>독일어 회화Ⅰ</v>
          </cell>
          <cell r="C254" t="str">
            <v>진로</v>
          </cell>
          <cell r="D254">
            <v>4</v>
          </cell>
          <cell r="E254" t="str">
            <v>성취도 5단계+석차등급O</v>
          </cell>
        </row>
        <row r="255">
          <cell r="B255" t="str">
            <v>독일어 회화Ⅱ</v>
          </cell>
          <cell r="C255" t="str">
            <v>진로</v>
          </cell>
          <cell r="D255">
            <v>4</v>
          </cell>
          <cell r="E255" t="str">
            <v>성취도 5단계+석차등급O</v>
          </cell>
        </row>
        <row r="256">
          <cell r="B256" t="str">
            <v>독일어 독해와 작문Ⅰ</v>
          </cell>
          <cell r="C256" t="str">
            <v>진로</v>
          </cell>
          <cell r="D256">
            <v>4</v>
          </cell>
          <cell r="E256" t="str">
            <v>성취도 5단계+석차등급O</v>
          </cell>
        </row>
        <row r="257">
          <cell r="B257" t="str">
            <v>독일어 독해와 작문Ⅱ</v>
          </cell>
          <cell r="C257" t="str">
            <v>진로</v>
          </cell>
          <cell r="D257">
            <v>4</v>
          </cell>
          <cell r="E257" t="str">
            <v>성취도 5단계+석차등급O</v>
          </cell>
        </row>
        <row r="258">
          <cell r="B258" t="str">
            <v>전공 기초 프랑스어</v>
          </cell>
          <cell r="C258" t="str">
            <v>진로</v>
          </cell>
          <cell r="D258">
            <v>4</v>
          </cell>
          <cell r="E258" t="str">
            <v>성취도 5단계+석차등급O</v>
          </cell>
        </row>
        <row r="259">
          <cell r="B259" t="str">
            <v>프랑스어 회화Ⅰ</v>
          </cell>
          <cell r="C259" t="str">
            <v>진로</v>
          </cell>
          <cell r="D259">
            <v>4</v>
          </cell>
          <cell r="E259" t="str">
            <v>성취도 5단계+석차등급O</v>
          </cell>
        </row>
        <row r="260">
          <cell r="B260" t="str">
            <v>프랑스어 회화Ⅱ</v>
          </cell>
          <cell r="C260" t="str">
            <v>진로</v>
          </cell>
          <cell r="D260">
            <v>4</v>
          </cell>
          <cell r="E260" t="str">
            <v>성취도 5단계+석차등급O</v>
          </cell>
        </row>
        <row r="261">
          <cell r="B261" t="str">
            <v>프랑스어 독해와 작문Ⅰ</v>
          </cell>
          <cell r="C261" t="str">
            <v>진로</v>
          </cell>
          <cell r="D261">
            <v>4</v>
          </cell>
          <cell r="E261" t="str">
            <v>성취도 5단계+석차등급O</v>
          </cell>
        </row>
        <row r="262">
          <cell r="B262" t="str">
            <v>프랑스어 독해와 작문Ⅱ</v>
          </cell>
          <cell r="C262" t="str">
            <v>진로</v>
          </cell>
          <cell r="D262">
            <v>4</v>
          </cell>
          <cell r="E262" t="str">
            <v>성취도 5단계+석차등급O</v>
          </cell>
        </row>
        <row r="263">
          <cell r="B263" t="str">
            <v>전공 기초 스페인어</v>
          </cell>
          <cell r="C263" t="str">
            <v>진로</v>
          </cell>
          <cell r="D263">
            <v>4</v>
          </cell>
          <cell r="E263" t="str">
            <v>성취도 5단계+석차등급O</v>
          </cell>
        </row>
        <row r="264">
          <cell r="B264" t="str">
            <v>스페인어 회화Ⅰ</v>
          </cell>
          <cell r="C264" t="str">
            <v>진로</v>
          </cell>
          <cell r="D264">
            <v>4</v>
          </cell>
          <cell r="E264" t="str">
            <v>성취도 5단계+석차등급O</v>
          </cell>
        </row>
        <row r="265">
          <cell r="B265" t="str">
            <v>스페인어 회화Ⅱ</v>
          </cell>
          <cell r="C265" t="str">
            <v>진로</v>
          </cell>
          <cell r="D265">
            <v>4</v>
          </cell>
          <cell r="E265" t="str">
            <v>성취도 5단계+석차등급O</v>
          </cell>
        </row>
        <row r="266">
          <cell r="B266" t="str">
            <v>스페인어 독해와 작문Ⅰ</v>
          </cell>
          <cell r="C266" t="str">
            <v>진로</v>
          </cell>
          <cell r="D266">
            <v>4</v>
          </cell>
          <cell r="E266" t="str">
            <v>성취도 5단계+석차등급O</v>
          </cell>
        </row>
        <row r="267">
          <cell r="B267" t="str">
            <v>스페인어 독해와 작문Ⅱ</v>
          </cell>
          <cell r="C267" t="str">
            <v>진로</v>
          </cell>
          <cell r="D267">
            <v>4</v>
          </cell>
          <cell r="E267" t="str">
            <v>성취도 5단계+석차등급O</v>
          </cell>
        </row>
        <row r="268">
          <cell r="B268" t="str">
            <v>전공 기초 중국어</v>
          </cell>
          <cell r="C268" t="str">
            <v>진로</v>
          </cell>
          <cell r="D268">
            <v>4</v>
          </cell>
          <cell r="E268" t="str">
            <v>성취도 5단계+석차등급O</v>
          </cell>
        </row>
        <row r="269">
          <cell r="B269" t="str">
            <v>중국어 회화Ⅰ</v>
          </cell>
          <cell r="C269" t="str">
            <v>진로</v>
          </cell>
          <cell r="D269">
            <v>4</v>
          </cell>
          <cell r="E269" t="str">
            <v>성취도 5단계+석차등급O</v>
          </cell>
        </row>
        <row r="270">
          <cell r="B270" t="str">
            <v>중국어 회화Ⅱ</v>
          </cell>
          <cell r="C270" t="str">
            <v>진로</v>
          </cell>
          <cell r="D270">
            <v>4</v>
          </cell>
          <cell r="E270" t="str">
            <v>성취도 5단계+석차등급O</v>
          </cell>
        </row>
        <row r="271">
          <cell r="B271" t="str">
            <v>중국어 독해와 작문Ⅰ</v>
          </cell>
          <cell r="C271" t="str">
            <v>진로</v>
          </cell>
          <cell r="D271">
            <v>4</v>
          </cell>
          <cell r="E271" t="str">
            <v>성취도 5단계+석차등급O</v>
          </cell>
        </row>
        <row r="272">
          <cell r="B272" t="str">
            <v>중국어 독해와 작문Ⅱ</v>
          </cell>
          <cell r="C272" t="str">
            <v>진로</v>
          </cell>
          <cell r="D272">
            <v>4</v>
          </cell>
          <cell r="E272" t="str">
            <v>성취도 5단계+석차등급O</v>
          </cell>
        </row>
        <row r="273">
          <cell r="B273" t="str">
            <v>전공 기초 일본어</v>
          </cell>
          <cell r="C273" t="str">
            <v>진로</v>
          </cell>
          <cell r="D273">
            <v>4</v>
          </cell>
          <cell r="E273" t="str">
            <v>성취도 5단계+석차등급O</v>
          </cell>
        </row>
        <row r="274">
          <cell r="B274" t="str">
            <v>일본어 회화Ⅰ</v>
          </cell>
          <cell r="C274" t="str">
            <v>진로</v>
          </cell>
          <cell r="D274">
            <v>4</v>
          </cell>
          <cell r="E274" t="str">
            <v>성취도 5단계+석차등급O</v>
          </cell>
        </row>
        <row r="275">
          <cell r="B275" t="str">
            <v>일본어 회화Ⅱ</v>
          </cell>
          <cell r="C275" t="str">
            <v>진로</v>
          </cell>
          <cell r="D275">
            <v>4</v>
          </cell>
          <cell r="E275" t="str">
            <v>성취도 5단계+석차등급O</v>
          </cell>
        </row>
        <row r="276">
          <cell r="B276" t="str">
            <v>일본어 독해와 작문Ⅰ</v>
          </cell>
          <cell r="C276" t="str">
            <v>진로</v>
          </cell>
          <cell r="D276">
            <v>4</v>
          </cell>
          <cell r="E276" t="str">
            <v>성취도 5단계+석차등급O</v>
          </cell>
        </row>
        <row r="277">
          <cell r="B277" t="str">
            <v>일본어 독해와 작문Ⅱ</v>
          </cell>
          <cell r="C277" t="str">
            <v>진로</v>
          </cell>
          <cell r="D277">
            <v>4</v>
          </cell>
          <cell r="E277" t="str">
            <v>성취도 5단계+석차등급O</v>
          </cell>
        </row>
        <row r="278">
          <cell r="B278" t="str">
            <v>전공 기초 러시아어</v>
          </cell>
          <cell r="C278" t="str">
            <v>진로</v>
          </cell>
          <cell r="D278">
            <v>4</v>
          </cell>
          <cell r="E278" t="str">
            <v>성취도 5단계+석차등급O</v>
          </cell>
        </row>
        <row r="279">
          <cell r="B279" t="str">
            <v>러시아어 회화Ⅰ</v>
          </cell>
          <cell r="C279" t="str">
            <v>진로</v>
          </cell>
          <cell r="D279">
            <v>4</v>
          </cell>
          <cell r="E279" t="str">
            <v>성취도 5단계+석차등급O</v>
          </cell>
        </row>
        <row r="280">
          <cell r="B280" t="str">
            <v>러시아어 회화Ⅱ</v>
          </cell>
          <cell r="C280" t="str">
            <v>진로</v>
          </cell>
          <cell r="D280">
            <v>4</v>
          </cell>
          <cell r="E280" t="str">
            <v>성취도 5단계+석차등급O</v>
          </cell>
        </row>
        <row r="281">
          <cell r="B281" t="str">
            <v>러시아어 독해와 작문Ⅰ</v>
          </cell>
          <cell r="C281" t="str">
            <v>진로</v>
          </cell>
          <cell r="D281">
            <v>4</v>
          </cell>
          <cell r="E281" t="str">
            <v>성취도 5단계+석차등급O</v>
          </cell>
        </row>
        <row r="282">
          <cell r="B282" t="str">
            <v>러시아어 독해와 작문Ⅱ</v>
          </cell>
          <cell r="C282" t="str">
            <v>진로</v>
          </cell>
          <cell r="D282">
            <v>4</v>
          </cell>
          <cell r="E282" t="str">
            <v>성취도 5단계+석차등급O</v>
          </cell>
        </row>
        <row r="283">
          <cell r="B283" t="str">
            <v>전공 기초 아랍어</v>
          </cell>
          <cell r="C283" t="str">
            <v>진로</v>
          </cell>
          <cell r="D283">
            <v>4</v>
          </cell>
          <cell r="E283" t="str">
            <v>성취도 5단계+석차등급O</v>
          </cell>
        </row>
        <row r="284">
          <cell r="B284" t="str">
            <v>아랍어 회화Ⅰ</v>
          </cell>
          <cell r="C284" t="str">
            <v>진로</v>
          </cell>
          <cell r="D284">
            <v>4</v>
          </cell>
          <cell r="E284" t="str">
            <v>성취도 5단계+석차등급O</v>
          </cell>
        </row>
        <row r="285">
          <cell r="B285" t="str">
            <v>아랍어 회화Ⅱ</v>
          </cell>
          <cell r="C285" t="str">
            <v>진로</v>
          </cell>
          <cell r="D285">
            <v>4</v>
          </cell>
          <cell r="E285" t="str">
            <v>성취도 5단계+석차등급O</v>
          </cell>
        </row>
        <row r="286">
          <cell r="B286" t="str">
            <v>아랍어 독해와 작문Ⅰ</v>
          </cell>
          <cell r="C286" t="str">
            <v>진로</v>
          </cell>
          <cell r="D286">
            <v>4</v>
          </cell>
          <cell r="E286" t="str">
            <v>성취도 5단계+석차등급O</v>
          </cell>
        </row>
        <row r="287">
          <cell r="B287" t="str">
            <v>아랍어 독해와 작문Ⅱ</v>
          </cell>
          <cell r="C287" t="str">
            <v>진로</v>
          </cell>
          <cell r="D287">
            <v>4</v>
          </cell>
          <cell r="E287" t="str">
            <v>성취도 5단계+석차등급O</v>
          </cell>
        </row>
        <row r="288">
          <cell r="B288" t="str">
            <v>전공 기초 베트남어</v>
          </cell>
          <cell r="C288" t="str">
            <v>진로</v>
          </cell>
          <cell r="D288">
            <v>4</v>
          </cell>
          <cell r="E288" t="str">
            <v>성취도 5단계+석차등급O</v>
          </cell>
        </row>
        <row r="289">
          <cell r="B289" t="str">
            <v>베트남어 회화Ⅰ</v>
          </cell>
          <cell r="C289" t="str">
            <v>진로</v>
          </cell>
          <cell r="D289">
            <v>4</v>
          </cell>
          <cell r="E289" t="str">
            <v>성취도 5단계+석차등급O</v>
          </cell>
        </row>
        <row r="290">
          <cell r="B290" t="str">
            <v>베트남어 회화Ⅱ</v>
          </cell>
          <cell r="C290" t="str">
            <v>진로</v>
          </cell>
          <cell r="D290">
            <v>4</v>
          </cell>
          <cell r="E290" t="str">
            <v>성취도 5단계+석차등급O</v>
          </cell>
        </row>
        <row r="291">
          <cell r="B291" t="str">
            <v>베트남어 독해와 작문Ⅰ</v>
          </cell>
          <cell r="C291" t="str">
            <v>진로</v>
          </cell>
          <cell r="D291">
            <v>4</v>
          </cell>
          <cell r="E291" t="str">
            <v>성취도 5단계+석차등급O</v>
          </cell>
        </row>
        <row r="292">
          <cell r="B292" t="str">
            <v>베트남어 독해와 작문Ⅱ</v>
          </cell>
          <cell r="C292" t="str">
            <v>진로</v>
          </cell>
          <cell r="D292">
            <v>4</v>
          </cell>
          <cell r="E292" t="str">
            <v>성취도 5단계+석차등급O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6683570-5F62-423C-8E24-28A3AE40C398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4123670c-41d9-4e65-a1ee-9e0209c2ded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EAC68-97EF-4C95-8858-F2627DAFFC2A}">
  <sheetPr codeName="Sheet2">
    <pageSetUpPr fitToPage="1"/>
  </sheetPr>
  <dimension ref="A1:O112"/>
  <sheetViews>
    <sheetView zoomScaleNormal="100" workbookViewId="0">
      <pane ySplit="4" topLeftCell="A83" activePane="bottomLeft" state="frozen"/>
      <selection sqref="A1:O1"/>
      <selection pane="bottomLeft" activeCell="H92" sqref="H92"/>
    </sheetView>
  </sheetViews>
  <sheetFormatPr defaultColWidth="10.28515625" defaultRowHeight="15"/>
  <cols>
    <col min="1" max="1" width="8.28515625" style="27" customWidth="1"/>
    <col min="2" max="2" width="9.85546875" style="27" customWidth="1"/>
    <col min="3" max="3" width="5.7109375" style="27" bestFit="1" customWidth="1"/>
    <col min="4" max="4" width="24.28515625" style="27" customWidth="1"/>
    <col min="5" max="6" width="9" style="27" customWidth="1"/>
    <col min="7" max="12" width="9.42578125" style="27" customWidth="1"/>
    <col min="13" max="14" width="10.28515625" style="27"/>
    <col min="15" max="15" width="34.7109375" style="27" customWidth="1"/>
    <col min="16" max="16" width="21.42578125" style="27" customWidth="1"/>
    <col min="17" max="16384" width="10.28515625" style="27"/>
  </cols>
  <sheetData>
    <row r="1" spans="1:15" ht="33" customHeight="1">
      <c r="A1" s="101" t="s">
        <v>610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</row>
    <row r="2" spans="1:15" ht="33" customHeight="1">
      <c r="A2" s="105" t="s">
        <v>517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</row>
    <row r="3" spans="1:15" ht="34.9" customHeight="1">
      <c r="A3" s="102" t="s">
        <v>53</v>
      </c>
      <c r="B3" s="104" t="s">
        <v>52</v>
      </c>
      <c r="C3" s="103" t="s">
        <v>404</v>
      </c>
      <c r="D3" s="104" t="s">
        <v>405</v>
      </c>
      <c r="E3" s="102" t="s">
        <v>410</v>
      </c>
      <c r="F3" s="102" t="s">
        <v>411</v>
      </c>
      <c r="G3" s="103" t="s">
        <v>406</v>
      </c>
      <c r="H3" s="103"/>
      <c r="I3" s="103" t="s">
        <v>407</v>
      </c>
      <c r="J3" s="103"/>
      <c r="K3" s="103" t="s">
        <v>408</v>
      </c>
      <c r="L3" s="103"/>
      <c r="M3" s="103" t="s">
        <v>399</v>
      </c>
      <c r="N3" s="103"/>
      <c r="O3" s="104" t="s">
        <v>409</v>
      </c>
    </row>
    <row r="4" spans="1:15">
      <c r="A4" s="104"/>
      <c r="B4" s="104"/>
      <c r="C4" s="103"/>
      <c r="D4" s="104"/>
      <c r="E4" s="103"/>
      <c r="F4" s="103"/>
      <c r="G4" s="78" t="s">
        <v>400</v>
      </c>
      <c r="H4" s="78" t="s">
        <v>401</v>
      </c>
      <c r="I4" s="78" t="s">
        <v>400</v>
      </c>
      <c r="J4" s="78" t="s">
        <v>401</v>
      </c>
      <c r="K4" s="78" t="s">
        <v>400</v>
      </c>
      <c r="L4" s="78" t="s">
        <v>401</v>
      </c>
      <c r="M4" s="78" t="s">
        <v>400</v>
      </c>
      <c r="N4" s="78" t="s">
        <v>401</v>
      </c>
      <c r="O4" s="104"/>
    </row>
    <row r="5" spans="1:15" customFormat="1" ht="16.5" customHeight="1">
      <c r="A5" s="92" t="s">
        <v>13</v>
      </c>
      <c r="B5" s="88" t="s">
        <v>14</v>
      </c>
      <c r="C5" s="31" t="s">
        <v>15</v>
      </c>
      <c r="D5" s="46" t="s">
        <v>16</v>
      </c>
      <c r="E5" s="31">
        <v>4</v>
      </c>
      <c r="F5" s="31">
        <f t="shared" ref="F5:F42" si="0">IF(SUM(G5:L5)&lt;&gt;0,SUM(G5:L5),F4)</f>
        <v>3</v>
      </c>
      <c r="G5" s="31">
        <v>3</v>
      </c>
      <c r="H5" s="31"/>
      <c r="I5" s="31"/>
      <c r="J5" s="31"/>
      <c r="K5" s="31"/>
      <c r="L5" s="31"/>
      <c r="M5" s="79" t="s">
        <v>402</v>
      </c>
      <c r="N5" s="79" t="s">
        <v>403</v>
      </c>
      <c r="O5" s="46" t="s">
        <v>17</v>
      </c>
    </row>
    <row r="6" spans="1:15" customFormat="1" ht="16.5" customHeight="1">
      <c r="A6" s="92"/>
      <c r="B6" s="88"/>
      <c r="C6" s="31" t="s">
        <v>15</v>
      </c>
      <c r="D6" s="46" t="s">
        <v>18</v>
      </c>
      <c r="E6" s="31">
        <v>4</v>
      </c>
      <c r="F6" s="31">
        <f t="shared" si="0"/>
        <v>3</v>
      </c>
      <c r="G6" s="31"/>
      <c r="H6" s="31">
        <v>3</v>
      </c>
      <c r="I6" s="31"/>
      <c r="J6" s="31"/>
      <c r="K6" s="31"/>
      <c r="L6" s="31"/>
      <c r="M6" s="69" t="s">
        <v>402</v>
      </c>
      <c r="N6" s="69" t="s">
        <v>403</v>
      </c>
      <c r="O6" s="46" t="s">
        <v>17</v>
      </c>
    </row>
    <row r="7" spans="1:15" customFormat="1" ht="16.5" customHeight="1">
      <c r="A7" s="92"/>
      <c r="B7" s="88"/>
      <c r="C7" s="31" t="s">
        <v>19</v>
      </c>
      <c r="D7" s="31" t="s">
        <v>453</v>
      </c>
      <c r="E7" s="31">
        <v>4</v>
      </c>
      <c r="F7" s="31">
        <f t="shared" ref="F7" si="1">SUM(G7:L7)</f>
        <v>4</v>
      </c>
      <c r="G7" s="31"/>
      <c r="H7" s="31"/>
      <c r="I7" s="31">
        <v>4</v>
      </c>
      <c r="J7" s="31"/>
      <c r="K7" s="31"/>
      <c r="L7" s="31"/>
      <c r="M7" s="69" t="s">
        <v>402</v>
      </c>
      <c r="N7" s="69" t="s">
        <v>403</v>
      </c>
      <c r="O7" s="46" t="s">
        <v>17</v>
      </c>
    </row>
    <row r="8" spans="1:15" customFormat="1" ht="16.5" customHeight="1">
      <c r="A8" s="92"/>
      <c r="B8" s="88"/>
      <c r="C8" s="31" t="s">
        <v>19</v>
      </c>
      <c r="D8" s="31" t="s">
        <v>418</v>
      </c>
      <c r="E8" s="31">
        <v>4</v>
      </c>
      <c r="F8" s="31">
        <f t="shared" ref="F8" si="2">SUM(G8:L8)</f>
        <v>4</v>
      </c>
      <c r="G8" s="31"/>
      <c r="H8" s="31"/>
      <c r="I8" s="31"/>
      <c r="J8" s="31">
        <v>4</v>
      </c>
      <c r="K8" s="31"/>
      <c r="L8" s="31"/>
      <c r="M8" s="69" t="s">
        <v>402</v>
      </c>
      <c r="N8" s="69" t="s">
        <v>403</v>
      </c>
      <c r="O8" s="46" t="s">
        <v>17</v>
      </c>
    </row>
    <row r="9" spans="1:15" customFormat="1" ht="16.5" customHeight="1">
      <c r="A9" s="92"/>
      <c r="B9" s="88"/>
      <c r="C9" s="31" t="s">
        <v>19</v>
      </c>
      <c r="D9" s="31" t="s">
        <v>419</v>
      </c>
      <c r="E9" s="31">
        <v>4</v>
      </c>
      <c r="F9" s="31">
        <v>4</v>
      </c>
      <c r="G9" s="31"/>
      <c r="H9" s="31"/>
      <c r="I9" s="31"/>
      <c r="J9" s="31"/>
      <c r="K9" s="31">
        <v>4</v>
      </c>
      <c r="L9" s="31"/>
      <c r="M9" s="69"/>
      <c r="N9" s="69"/>
      <c r="O9" s="46" t="s">
        <v>17</v>
      </c>
    </row>
    <row r="10" spans="1:15" customFormat="1" ht="16.5" customHeight="1">
      <c r="A10" s="92"/>
      <c r="B10" s="88"/>
      <c r="C10" s="31" t="s">
        <v>37</v>
      </c>
      <c r="D10" s="31" t="s">
        <v>429</v>
      </c>
      <c r="E10" s="31">
        <v>4</v>
      </c>
      <c r="F10" s="31">
        <v>4</v>
      </c>
      <c r="G10" s="31"/>
      <c r="H10" s="31"/>
      <c r="I10" s="31"/>
      <c r="J10" s="31"/>
      <c r="K10" s="31"/>
      <c r="L10" s="31">
        <v>4</v>
      </c>
      <c r="M10" s="69"/>
      <c r="N10" s="69"/>
      <c r="O10" s="46" t="s">
        <v>17</v>
      </c>
    </row>
    <row r="11" spans="1:15" customFormat="1" ht="16.5" customHeight="1">
      <c r="A11" s="92"/>
      <c r="B11" s="88" t="s">
        <v>20</v>
      </c>
      <c r="C11" s="31" t="s">
        <v>15</v>
      </c>
      <c r="D11" s="46" t="s">
        <v>21</v>
      </c>
      <c r="E11" s="31">
        <v>4</v>
      </c>
      <c r="F11" s="31">
        <f>IF(SUM(G11:L11)&lt;&gt;0,SUM(G11:L11),#REF!)</f>
        <v>3</v>
      </c>
      <c r="G11" s="31">
        <v>3</v>
      </c>
      <c r="H11" s="31"/>
      <c r="I11" s="31"/>
      <c r="J11" s="31"/>
      <c r="K11" s="31"/>
      <c r="L11" s="31"/>
      <c r="M11" s="70" t="s">
        <v>402</v>
      </c>
      <c r="N11" s="69" t="s">
        <v>403</v>
      </c>
      <c r="O11" s="46" t="s">
        <v>17</v>
      </c>
    </row>
    <row r="12" spans="1:15" customFormat="1" ht="16.5" customHeight="1">
      <c r="A12" s="92"/>
      <c r="B12" s="88"/>
      <c r="C12" s="31" t="s">
        <v>15</v>
      </c>
      <c r="D12" s="46" t="s">
        <v>22</v>
      </c>
      <c r="E12" s="31">
        <v>4</v>
      </c>
      <c r="F12" s="31">
        <f t="shared" si="0"/>
        <v>3</v>
      </c>
      <c r="G12" s="31"/>
      <c r="H12" s="31">
        <v>3</v>
      </c>
      <c r="I12" s="31"/>
      <c r="J12" s="31"/>
      <c r="K12" s="31"/>
      <c r="L12" s="31"/>
      <c r="M12" s="69" t="s">
        <v>402</v>
      </c>
      <c r="N12" s="69" t="s">
        <v>403</v>
      </c>
      <c r="O12" s="46" t="s">
        <v>17</v>
      </c>
    </row>
    <row r="13" spans="1:15" customFormat="1" ht="16.5" customHeight="1">
      <c r="A13" s="92"/>
      <c r="B13" s="88"/>
      <c r="C13" s="31" t="s">
        <v>19</v>
      </c>
      <c r="D13" s="31" t="s">
        <v>420</v>
      </c>
      <c r="E13" s="31">
        <v>4</v>
      </c>
      <c r="F13" s="31">
        <f t="shared" ref="F13" si="3">SUM(G13:L13)</f>
        <v>4</v>
      </c>
      <c r="G13" s="31"/>
      <c r="H13" s="31"/>
      <c r="I13" s="31">
        <v>4</v>
      </c>
      <c r="J13" s="31"/>
      <c r="K13" s="31"/>
      <c r="L13" s="31"/>
      <c r="M13" s="69" t="s">
        <v>402</v>
      </c>
      <c r="N13" s="69" t="s">
        <v>403</v>
      </c>
      <c r="O13" s="46" t="s">
        <v>17</v>
      </c>
    </row>
    <row r="14" spans="1:15" customFormat="1" ht="16.5" customHeight="1">
      <c r="A14" s="92"/>
      <c r="B14" s="88"/>
      <c r="C14" s="31" t="s">
        <v>19</v>
      </c>
      <c r="D14" s="31" t="s">
        <v>454</v>
      </c>
      <c r="E14" s="31">
        <v>4</v>
      </c>
      <c r="F14" s="31">
        <f t="shared" ref="F14" si="4">SUM(G14:L14)</f>
        <v>4</v>
      </c>
      <c r="G14" s="31"/>
      <c r="H14" s="31"/>
      <c r="I14" s="31"/>
      <c r="J14" s="31">
        <v>4</v>
      </c>
      <c r="K14" s="31"/>
      <c r="L14" s="31"/>
      <c r="M14" s="69" t="s">
        <v>402</v>
      </c>
      <c r="N14" s="69" t="s">
        <v>403</v>
      </c>
      <c r="O14" s="46" t="s">
        <v>17</v>
      </c>
    </row>
    <row r="15" spans="1:15" customFormat="1" ht="16.5" customHeight="1">
      <c r="A15" s="92"/>
      <c r="B15" s="88"/>
      <c r="C15" s="31" t="s">
        <v>19</v>
      </c>
      <c r="D15" s="31" t="s">
        <v>421</v>
      </c>
      <c r="E15" s="31">
        <v>4</v>
      </c>
      <c r="F15" s="31">
        <v>4</v>
      </c>
      <c r="G15" s="31"/>
      <c r="H15" s="31"/>
      <c r="I15" s="31"/>
      <c r="J15" s="31"/>
      <c r="K15" s="31">
        <v>4</v>
      </c>
      <c r="L15" s="31"/>
      <c r="M15" s="69"/>
      <c r="N15" s="69"/>
      <c r="O15" s="46" t="s">
        <v>17</v>
      </c>
    </row>
    <row r="16" spans="1:15" customFormat="1" ht="16.5" customHeight="1">
      <c r="A16" s="92"/>
      <c r="B16" s="88"/>
      <c r="C16" s="31" t="s">
        <v>38</v>
      </c>
      <c r="D16" s="31" t="s">
        <v>455</v>
      </c>
      <c r="E16" s="31">
        <v>4</v>
      </c>
      <c r="F16" s="31">
        <v>4</v>
      </c>
      <c r="G16" s="31"/>
      <c r="H16" s="31"/>
      <c r="I16" s="31"/>
      <c r="J16" s="31"/>
      <c r="K16" s="31"/>
      <c r="L16" s="31">
        <v>4</v>
      </c>
      <c r="M16" s="69"/>
      <c r="N16" s="69"/>
      <c r="O16" s="46" t="s">
        <v>17</v>
      </c>
    </row>
    <row r="17" spans="1:15" customFormat="1" ht="16.5" customHeight="1">
      <c r="A17" s="92"/>
      <c r="B17" s="88" t="s">
        <v>23</v>
      </c>
      <c r="C17" s="31" t="s">
        <v>15</v>
      </c>
      <c r="D17" s="46" t="s">
        <v>24</v>
      </c>
      <c r="E17" s="31">
        <v>4</v>
      </c>
      <c r="F17" s="31">
        <f>IF(SUM(G17:L17)&lt;&gt;0,SUM(G17:L17),#REF!)</f>
        <v>3</v>
      </c>
      <c r="G17" s="31">
        <v>3</v>
      </c>
      <c r="H17" s="31"/>
      <c r="I17" s="31"/>
      <c r="J17" s="31"/>
      <c r="K17" s="31"/>
      <c r="L17" s="31"/>
      <c r="M17" s="71" t="s">
        <v>402</v>
      </c>
      <c r="N17" s="69" t="s">
        <v>403</v>
      </c>
      <c r="O17" s="46" t="s">
        <v>17</v>
      </c>
    </row>
    <row r="18" spans="1:15" customFormat="1" ht="16.5" customHeight="1">
      <c r="A18" s="92"/>
      <c r="B18" s="88"/>
      <c r="C18" s="31" t="s">
        <v>15</v>
      </c>
      <c r="D18" s="46" t="s">
        <v>25</v>
      </c>
      <c r="E18" s="31">
        <v>4</v>
      </c>
      <c r="F18" s="31">
        <f t="shared" si="0"/>
        <v>3</v>
      </c>
      <c r="G18" s="31"/>
      <c r="H18" s="31">
        <v>3</v>
      </c>
      <c r="I18" s="31"/>
      <c r="J18" s="31"/>
      <c r="K18" s="31"/>
      <c r="L18" s="31"/>
      <c r="M18" s="69" t="s">
        <v>402</v>
      </c>
      <c r="N18" s="69" t="s">
        <v>403</v>
      </c>
      <c r="O18" s="46" t="s">
        <v>17</v>
      </c>
    </row>
    <row r="19" spans="1:15" customFormat="1" ht="16.5" customHeight="1">
      <c r="A19" s="92"/>
      <c r="B19" s="88"/>
      <c r="C19" s="31" t="s">
        <v>19</v>
      </c>
      <c r="D19" s="31" t="s">
        <v>422</v>
      </c>
      <c r="E19" s="31">
        <v>4</v>
      </c>
      <c r="F19" s="31">
        <f t="shared" ref="F19" si="5">SUM(G19:L19)</f>
        <v>4</v>
      </c>
      <c r="G19" s="31"/>
      <c r="H19" s="31"/>
      <c r="I19" s="31">
        <v>4</v>
      </c>
      <c r="J19" s="31"/>
      <c r="K19" s="31"/>
      <c r="L19" s="31"/>
      <c r="M19" s="69" t="s">
        <v>402</v>
      </c>
      <c r="N19" s="69" t="s">
        <v>403</v>
      </c>
      <c r="O19" s="46" t="s">
        <v>17</v>
      </c>
    </row>
    <row r="20" spans="1:15" customFormat="1" ht="16.5" customHeight="1">
      <c r="A20" s="92"/>
      <c r="B20" s="88"/>
      <c r="C20" s="31" t="s">
        <v>19</v>
      </c>
      <c r="D20" s="31" t="s">
        <v>423</v>
      </c>
      <c r="E20" s="31">
        <v>4</v>
      </c>
      <c r="F20" s="31">
        <f t="shared" ref="F20" si="6">SUM(G20:L20)</f>
        <v>4</v>
      </c>
      <c r="G20" s="31"/>
      <c r="H20" s="31"/>
      <c r="I20" s="31"/>
      <c r="J20" s="31">
        <v>4</v>
      </c>
      <c r="K20" s="31"/>
      <c r="L20" s="31"/>
      <c r="M20" s="69" t="s">
        <v>402</v>
      </c>
      <c r="N20" s="69" t="s">
        <v>403</v>
      </c>
      <c r="O20" s="46" t="s">
        <v>17</v>
      </c>
    </row>
    <row r="21" spans="1:15" customFormat="1" ht="16.5" customHeight="1">
      <c r="A21" s="92"/>
      <c r="B21" s="88"/>
      <c r="C21" s="31" t="s">
        <v>19</v>
      </c>
      <c r="D21" s="31" t="s">
        <v>430</v>
      </c>
      <c r="E21" s="31">
        <v>4</v>
      </c>
      <c r="F21" s="31">
        <v>4</v>
      </c>
      <c r="G21" s="31"/>
      <c r="H21" s="31"/>
      <c r="I21" s="31"/>
      <c r="J21" s="31"/>
      <c r="K21" s="31">
        <v>4</v>
      </c>
      <c r="L21" s="31"/>
      <c r="M21" s="69"/>
      <c r="N21" s="69"/>
      <c r="O21" s="46" t="s">
        <v>17</v>
      </c>
    </row>
    <row r="22" spans="1:15" customFormat="1" ht="16.5" customHeight="1">
      <c r="A22" s="92"/>
      <c r="B22" s="88"/>
      <c r="C22" s="31" t="s">
        <v>37</v>
      </c>
      <c r="D22" s="31" t="s">
        <v>456</v>
      </c>
      <c r="E22" s="31">
        <v>4</v>
      </c>
      <c r="F22" s="31">
        <v>4</v>
      </c>
      <c r="G22" s="31"/>
      <c r="H22" s="31"/>
      <c r="I22" s="31"/>
      <c r="J22" s="31"/>
      <c r="K22" s="31"/>
      <c r="L22" s="31">
        <v>4</v>
      </c>
      <c r="M22" s="69"/>
      <c r="N22" s="69"/>
      <c r="O22" s="46" t="s">
        <v>17</v>
      </c>
    </row>
    <row r="23" spans="1:15" customFormat="1" ht="16.5" customHeight="1">
      <c r="A23" s="92"/>
      <c r="B23" s="100" t="s">
        <v>424</v>
      </c>
      <c r="C23" s="31" t="s">
        <v>15</v>
      </c>
      <c r="D23" s="46" t="s">
        <v>26</v>
      </c>
      <c r="E23" s="31">
        <v>3</v>
      </c>
      <c r="F23" s="31">
        <f>IF(SUM(G23:L23)&lt;&gt;0,SUM(G23:L23),#REF!)</f>
        <v>3</v>
      </c>
      <c r="G23" s="31">
        <v>3</v>
      </c>
      <c r="H23" s="31"/>
      <c r="I23" s="31"/>
      <c r="J23" s="31"/>
      <c r="K23" s="31"/>
      <c r="L23" s="31"/>
      <c r="M23" s="70" t="s">
        <v>402</v>
      </c>
      <c r="N23" s="69" t="s">
        <v>403</v>
      </c>
      <c r="O23" s="46" t="s">
        <v>17</v>
      </c>
    </row>
    <row r="24" spans="1:15" customFormat="1" ht="16.5" customHeight="1">
      <c r="A24" s="92"/>
      <c r="B24" s="100"/>
      <c r="C24" s="31" t="s">
        <v>15</v>
      </c>
      <c r="D24" s="46" t="s">
        <v>27</v>
      </c>
      <c r="E24" s="31">
        <v>3</v>
      </c>
      <c r="F24" s="31">
        <f t="shared" si="0"/>
        <v>3</v>
      </c>
      <c r="G24" s="31"/>
      <c r="H24" s="31">
        <v>3</v>
      </c>
      <c r="I24" s="31"/>
      <c r="J24" s="31"/>
      <c r="K24" s="31"/>
      <c r="L24" s="31"/>
      <c r="M24" s="69" t="s">
        <v>402</v>
      </c>
      <c r="N24" s="69" t="s">
        <v>403</v>
      </c>
      <c r="O24" s="46" t="s">
        <v>17</v>
      </c>
    </row>
    <row r="25" spans="1:15" customFormat="1" ht="16.5" customHeight="1">
      <c r="A25" s="92"/>
      <c r="B25" s="100"/>
      <c r="C25" s="31" t="s">
        <v>15</v>
      </c>
      <c r="D25" s="46" t="s">
        <v>28</v>
      </c>
      <c r="E25" s="31">
        <v>4</v>
      </c>
      <c r="F25" s="31">
        <f t="shared" si="0"/>
        <v>4</v>
      </c>
      <c r="G25" s="31">
        <v>4</v>
      </c>
      <c r="H25" s="31"/>
      <c r="I25" s="31"/>
      <c r="J25" s="31"/>
      <c r="K25" s="31"/>
      <c r="L25" s="31"/>
      <c r="M25" s="69" t="s">
        <v>402</v>
      </c>
      <c r="N25" s="69" t="s">
        <v>403</v>
      </c>
      <c r="O25" s="46" t="s">
        <v>17</v>
      </c>
    </row>
    <row r="26" spans="1:15" customFormat="1" ht="16.5" customHeight="1">
      <c r="A26" s="92"/>
      <c r="B26" s="100"/>
      <c r="C26" s="31" t="s">
        <v>15</v>
      </c>
      <c r="D26" s="46" t="s">
        <v>29</v>
      </c>
      <c r="E26" s="31">
        <v>4</v>
      </c>
      <c r="F26" s="31">
        <f t="shared" si="0"/>
        <v>4</v>
      </c>
      <c r="G26" s="31"/>
      <c r="H26" s="31">
        <v>4</v>
      </c>
      <c r="I26" s="31"/>
      <c r="J26" s="31"/>
      <c r="K26" s="31"/>
      <c r="L26" s="31"/>
      <c r="M26" s="69" t="s">
        <v>402</v>
      </c>
      <c r="N26" s="69" t="s">
        <v>403</v>
      </c>
      <c r="O26" s="46" t="s">
        <v>17</v>
      </c>
    </row>
    <row r="27" spans="1:15" customFormat="1" ht="16.5" customHeight="1">
      <c r="A27" s="92"/>
      <c r="B27" s="100" t="s">
        <v>425</v>
      </c>
      <c r="C27" s="31" t="s">
        <v>15</v>
      </c>
      <c r="D27" s="46" t="s">
        <v>30</v>
      </c>
      <c r="E27" s="31">
        <v>4</v>
      </c>
      <c r="F27" s="31">
        <f t="shared" si="0"/>
        <v>4</v>
      </c>
      <c r="G27" s="31">
        <v>4</v>
      </c>
      <c r="H27" s="31"/>
      <c r="I27" s="31"/>
      <c r="J27" s="31"/>
      <c r="K27" s="31"/>
      <c r="L27" s="31"/>
      <c r="M27" s="71" t="s">
        <v>402</v>
      </c>
      <c r="N27" s="69" t="s">
        <v>403</v>
      </c>
      <c r="O27" s="46" t="s">
        <v>17</v>
      </c>
    </row>
    <row r="28" spans="1:15" customFormat="1" ht="16.5" customHeight="1">
      <c r="A28" s="92"/>
      <c r="B28" s="100"/>
      <c r="C28" s="31" t="s">
        <v>15</v>
      </c>
      <c r="D28" s="46" t="s">
        <v>31</v>
      </c>
      <c r="E28" s="31">
        <v>4</v>
      </c>
      <c r="F28" s="31">
        <f t="shared" si="0"/>
        <v>4</v>
      </c>
      <c r="G28" s="31"/>
      <c r="H28" s="31">
        <v>4</v>
      </c>
      <c r="I28" s="31"/>
      <c r="J28" s="31"/>
      <c r="K28" s="31"/>
      <c r="L28" s="31"/>
      <c r="M28" s="69" t="s">
        <v>402</v>
      </c>
      <c r="N28" s="69" t="s">
        <v>403</v>
      </c>
      <c r="O28" s="46" t="s">
        <v>17</v>
      </c>
    </row>
    <row r="29" spans="1:15" customFormat="1" ht="16.5" customHeight="1">
      <c r="A29" s="92"/>
      <c r="B29" s="100"/>
      <c r="C29" s="31" t="s">
        <v>15</v>
      </c>
      <c r="D29" s="46" t="s">
        <v>32</v>
      </c>
      <c r="E29" s="31">
        <v>1</v>
      </c>
      <c r="F29" s="31">
        <f t="shared" si="0"/>
        <v>1</v>
      </c>
      <c r="G29" s="31">
        <v>1</v>
      </c>
      <c r="H29" s="31"/>
      <c r="I29" s="31"/>
      <c r="J29" s="31"/>
      <c r="K29" s="31"/>
      <c r="L29" s="31"/>
      <c r="M29" s="69" t="s">
        <v>402</v>
      </c>
      <c r="N29" s="69" t="s">
        <v>403</v>
      </c>
      <c r="O29" s="46" t="s">
        <v>33</v>
      </c>
    </row>
    <row r="30" spans="1:15" customFormat="1" ht="16.5" customHeight="1">
      <c r="A30" s="92"/>
      <c r="B30" s="100"/>
      <c r="C30" s="31" t="s">
        <v>15</v>
      </c>
      <c r="D30" s="46" t="s">
        <v>34</v>
      </c>
      <c r="E30" s="31">
        <v>1</v>
      </c>
      <c r="F30" s="31">
        <f t="shared" si="0"/>
        <v>1</v>
      </c>
      <c r="G30" s="31"/>
      <c r="H30" s="31">
        <v>1</v>
      </c>
      <c r="I30" s="31"/>
      <c r="J30" s="31"/>
      <c r="K30" s="31"/>
      <c r="L30" s="31"/>
      <c r="M30" s="69" t="s">
        <v>402</v>
      </c>
      <c r="N30" s="69" t="s">
        <v>403</v>
      </c>
      <c r="O30" s="46" t="s">
        <v>33</v>
      </c>
    </row>
    <row r="31" spans="1:15" customFormat="1" ht="16.5" customHeight="1">
      <c r="A31" s="92"/>
      <c r="B31" s="88" t="s">
        <v>426</v>
      </c>
      <c r="C31" s="31" t="s">
        <v>19</v>
      </c>
      <c r="D31" s="46" t="s">
        <v>35</v>
      </c>
      <c r="E31" s="31">
        <v>3</v>
      </c>
      <c r="F31" s="31">
        <f t="shared" si="0"/>
        <v>2</v>
      </c>
      <c r="G31" s="31">
        <v>2</v>
      </c>
      <c r="H31" s="31"/>
      <c r="I31" s="31"/>
      <c r="J31" s="31"/>
      <c r="K31" s="31"/>
      <c r="L31" s="31"/>
      <c r="M31" s="71" t="s">
        <v>402</v>
      </c>
      <c r="N31" s="69" t="s">
        <v>403</v>
      </c>
      <c r="O31" s="46" t="s">
        <v>33</v>
      </c>
    </row>
    <row r="32" spans="1:15" customFormat="1" ht="16.5" customHeight="1">
      <c r="A32" s="92"/>
      <c r="B32" s="88"/>
      <c r="C32" s="31" t="s">
        <v>19</v>
      </c>
      <c r="D32" s="46" t="s">
        <v>36</v>
      </c>
      <c r="E32" s="31">
        <v>3</v>
      </c>
      <c r="F32" s="31">
        <f t="shared" si="0"/>
        <v>2</v>
      </c>
      <c r="G32" s="31"/>
      <c r="H32" s="31">
        <v>2</v>
      </c>
      <c r="I32" s="31"/>
      <c r="J32" s="31"/>
      <c r="K32" s="31"/>
      <c r="L32" s="31"/>
      <c r="M32" s="69" t="s">
        <v>402</v>
      </c>
      <c r="N32" s="69" t="s">
        <v>403</v>
      </c>
      <c r="O32" s="46" t="s">
        <v>33</v>
      </c>
    </row>
    <row r="33" spans="1:15" customFormat="1" ht="16.5" customHeight="1">
      <c r="A33" s="92"/>
      <c r="B33" s="88"/>
      <c r="C33" s="31" t="s">
        <v>38</v>
      </c>
      <c r="D33" s="31" t="s">
        <v>499</v>
      </c>
      <c r="E33" s="31">
        <v>3</v>
      </c>
      <c r="F33" s="31">
        <f t="shared" ref="F33:F34" si="7">SUM(G33:L33)</f>
        <v>2</v>
      </c>
      <c r="G33" s="31"/>
      <c r="H33" s="31"/>
      <c r="I33" s="31">
        <v>2</v>
      </c>
      <c r="J33" s="31"/>
      <c r="K33" s="31"/>
      <c r="L33" s="31"/>
      <c r="M33" s="69" t="s">
        <v>402</v>
      </c>
      <c r="N33" s="69" t="s">
        <v>403</v>
      </c>
      <c r="O33" s="46" t="s">
        <v>33</v>
      </c>
    </row>
    <row r="34" spans="1:15" customFormat="1" ht="16.5" customHeight="1">
      <c r="A34" s="92"/>
      <c r="B34" s="88"/>
      <c r="C34" s="31" t="s">
        <v>38</v>
      </c>
      <c r="D34" s="31" t="s">
        <v>457</v>
      </c>
      <c r="E34" s="31">
        <v>3</v>
      </c>
      <c r="F34" s="31">
        <f t="shared" si="7"/>
        <v>2</v>
      </c>
      <c r="G34" s="31"/>
      <c r="H34" s="31"/>
      <c r="I34" s="31"/>
      <c r="J34" s="31">
        <v>2</v>
      </c>
      <c r="K34" s="31"/>
      <c r="L34" s="31"/>
      <c r="M34" s="69" t="s">
        <v>402</v>
      </c>
      <c r="N34" s="69" t="s">
        <v>403</v>
      </c>
      <c r="O34" s="46" t="s">
        <v>33</v>
      </c>
    </row>
    <row r="35" spans="1:15" customFormat="1" ht="16.5" customHeight="1">
      <c r="A35" s="92"/>
      <c r="B35" s="88"/>
      <c r="C35" s="31" t="s">
        <v>37</v>
      </c>
      <c r="D35" s="31" t="s">
        <v>458</v>
      </c>
      <c r="E35" s="31">
        <v>2</v>
      </c>
      <c r="F35" s="31">
        <v>1</v>
      </c>
      <c r="G35" s="31"/>
      <c r="H35" s="31"/>
      <c r="I35" s="31"/>
      <c r="J35" s="31"/>
      <c r="K35" s="31">
        <v>1</v>
      </c>
      <c r="L35" s="31"/>
      <c r="M35" s="69"/>
      <c r="N35" s="69"/>
      <c r="O35" s="46" t="s">
        <v>33</v>
      </c>
    </row>
    <row r="36" spans="1:15" s="26" customFormat="1" ht="16.5">
      <c r="A36" s="92"/>
      <c r="B36" s="88"/>
      <c r="C36" s="30" t="s">
        <v>37</v>
      </c>
      <c r="D36" s="41" t="s">
        <v>459</v>
      </c>
      <c r="E36" s="30">
        <v>2</v>
      </c>
      <c r="F36" s="30">
        <v>1</v>
      </c>
      <c r="G36" s="30"/>
      <c r="H36" s="30"/>
      <c r="I36" s="30"/>
      <c r="J36" s="30"/>
      <c r="K36" s="30"/>
      <c r="L36" s="30">
        <v>1</v>
      </c>
      <c r="M36" s="69" t="s">
        <v>402</v>
      </c>
      <c r="N36" s="69" t="s">
        <v>403</v>
      </c>
      <c r="O36" s="46" t="s">
        <v>33</v>
      </c>
    </row>
    <row r="37" spans="1:15" customFormat="1" ht="16.5" customHeight="1">
      <c r="A37" s="92"/>
      <c r="B37" s="88" t="s">
        <v>427</v>
      </c>
      <c r="C37" s="31" t="s">
        <v>19</v>
      </c>
      <c r="D37" s="91" t="s">
        <v>428</v>
      </c>
      <c r="E37" s="31">
        <v>3</v>
      </c>
      <c r="F37" s="31">
        <v>3</v>
      </c>
      <c r="G37" s="88">
        <v>3</v>
      </c>
      <c r="H37" s="88">
        <v>3</v>
      </c>
      <c r="I37" s="31"/>
      <c r="J37" s="31"/>
      <c r="K37" s="31"/>
      <c r="L37" s="31"/>
      <c r="M37" s="71" t="s">
        <v>402</v>
      </c>
      <c r="N37" s="69" t="s">
        <v>403</v>
      </c>
      <c r="O37" s="46" t="s">
        <v>33</v>
      </c>
    </row>
    <row r="38" spans="1:15" customFormat="1" ht="16.5" customHeight="1">
      <c r="A38" s="92"/>
      <c r="B38" s="88"/>
      <c r="C38" s="31" t="s">
        <v>19</v>
      </c>
      <c r="D38" s="91"/>
      <c r="E38" s="31">
        <v>3</v>
      </c>
      <c r="F38" s="31">
        <v>3</v>
      </c>
      <c r="G38" s="88"/>
      <c r="H38" s="88"/>
      <c r="I38" s="31"/>
      <c r="J38" s="31"/>
      <c r="K38" s="31"/>
      <c r="L38" s="31"/>
      <c r="M38" s="71" t="s">
        <v>402</v>
      </c>
      <c r="N38" s="69" t="s">
        <v>403</v>
      </c>
      <c r="O38" s="46" t="s">
        <v>33</v>
      </c>
    </row>
    <row r="39" spans="1:15" customFormat="1" ht="16.5" customHeight="1">
      <c r="A39" s="92"/>
      <c r="B39" s="88"/>
      <c r="C39" s="31" t="s">
        <v>37</v>
      </c>
      <c r="D39" s="91" t="s">
        <v>498</v>
      </c>
      <c r="E39" s="31">
        <v>3</v>
      </c>
      <c r="F39" s="31">
        <v>2</v>
      </c>
      <c r="G39" s="31"/>
      <c r="H39" s="31"/>
      <c r="I39" s="31"/>
      <c r="J39" s="31"/>
      <c r="K39" s="88">
        <v>2</v>
      </c>
      <c r="L39" s="88">
        <v>2</v>
      </c>
      <c r="M39" s="71"/>
      <c r="N39" s="69"/>
      <c r="O39" s="46" t="s">
        <v>33</v>
      </c>
    </row>
    <row r="40" spans="1:15" customFormat="1" ht="16.5" customHeight="1">
      <c r="A40" s="92"/>
      <c r="B40" s="88"/>
      <c r="C40" s="31" t="s">
        <v>37</v>
      </c>
      <c r="D40" s="91"/>
      <c r="E40" s="31">
        <v>3</v>
      </c>
      <c r="F40" s="31">
        <v>2</v>
      </c>
      <c r="G40" s="31"/>
      <c r="H40" s="31"/>
      <c r="I40" s="31"/>
      <c r="J40" s="31"/>
      <c r="K40" s="88"/>
      <c r="L40" s="88"/>
      <c r="M40" s="69" t="s">
        <v>402</v>
      </c>
      <c r="N40" s="69" t="s">
        <v>403</v>
      </c>
      <c r="O40" s="46" t="s">
        <v>33</v>
      </c>
    </row>
    <row r="41" spans="1:15" customFormat="1" ht="16.5" customHeight="1">
      <c r="A41" s="92"/>
      <c r="B41" s="100" t="s">
        <v>40</v>
      </c>
      <c r="C41" s="31" t="s">
        <v>19</v>
      </c>
      <c r="D41" s="46" t="s">
        <v>40</v>
      </c>
      <c r="E41" s="31">
        <v>4</v>
      </c>
      <c r="F41" s="31">
        <f t="shared" si="0"/>
        <v>3</v>
      </c>
      <c r="G41" s="31">
        <v>3</v>
      </c>
      <c r="H41" s="31"/>
      <c r="I41" s="31"/>
      <c r="J41" s="31"/>
      <c r="K41" s="31"/>
      <c r="L41" s="31"/>
      <c r="M41" s="70" t="s">
        <v>402</v>
      </c>
      <c r="N41" s="69" t="s">
        <v>403</v>
      </c>
      <c r="O41" s="46" t="s">
        <v>17</v>
      </c>
    </row>
    <row r="42" spans="1:15" customFormat="1" ht="16.5" customHeight="1">
      <c r="A42" s="92"/>
      <c r="B42" s="100"/>
      <c r="C42" s="31" t="s">
        <v>37</v>
      </c>
      <c r="D42" s="46" t="s">
        <v>460</v>
      </c>
      <c r="E42" s="31">
        <v>4</v>
      </c>
      <c r="F42" s="31">
        <f t="shared" si="0"/>
        <v>3</v>
      </c>
      <c r="G42" s="31"/>
      <c r="H42" s="31">
        <v>3</v>
      </c>
      <c r="I42" s="31"/>
      <c r="J42" s="31"/>
      <c r="K42" s="31"/>
      <c r="L42" s="31"/>
      <c r="M42" s="69" t="s">
        <v>402</v>
      </c>
      <c r="N42" s="69" t="s">
        <v>403</v>
      </c>
      <c r="O42" s="46" t="s">
        <v>17</v>
      </c>
    </row>
    <row r="43" spans="1:15" customFormat="1" ht="16.5" customHeight="1">
      <c r="A43" s="93" t="s">
        <v>413</v>
      </c>
      <c r="B43" s="94"/>
      <c r="C43" s="94"/>
      <c r="D43" s="94"/>
      <c r="E43" s="81"/>
      <c r="F43" s="81"/>
      <c r="G43" s="80">
        <f>SUM(G5:G42)</f>
        <v>29</v>
      </c>
      <c r="H43" s="80">
        <f t="shared" ref="H43:L43" si="8">SUM(H5:H42)</f>
        <v>29</v>
      </c>
      <c r="I43" s="80">
        <f t="shared" si="8"/>
        <v>14</v>
      </c>
      <c r="J43" s="80">
        <f t="shared" si="8"/>
        <v>14</v>
      </c>
      <c r="K43" s="80">
        <f t="shared" si="8"/>
        <v>15</v>
      </c>
      <c r="L43" s="80">
        <f t="shared" si="8"/>
        <v>15</v>
      </c>
      <c r="M43" s="82"/>
      <c r="N43" s="82"/>
      <c r="O43" s="81"/>
    </row>
    <row r="44" spans="1:15" customFormat="1" ht="16.5" customHeight="1">
      <c r="A44" s="92" t="s">
        <v>41</v>
      </c>
      <c r="B44" s="92" t="s">
        <v>424</v>
      </c>
      <c r="C44" s="31" t="s">
        <v>19</v>
      </c>
      <c r="D44" s="46" t="s">
        <v>433</v>
      </c>
      <c r="E44" s="33">
        <v>4</v>
      </c>
      <c r="F44" s="31">
        <f t="shared" ref="F44:F99" si="9">IF(SUM(G44:L44)&lt;&gt;0,SUM(G44:L44),F43)</f>
        <v>3</v>
      </c>
      <c r="G44" s="33"/>
      <c r="H44" s="33"/>
      <c r="I44" s="33">
        <v>3</v>
      </c>
      <c r="J44" s="33"/>
      <c r="K44" s="33"/>
      <c r="L44" s="33"/>
      <c r="M44" s="79" t="s">
        <v>402</v>
      </c>
      <c r="N44" s="79" t="s">
        <v>403</v>
      </c>
      <c r="O44" s="46" t="s">
        <v>17</v>
      </c>
    </row>
    <row r="45" spans="1:15" customFormat="1" ht="16.5" customHeight="1">
      <c r="A45" s="92"/>
      <c r="B45" s="92"/>
      <c r="C45" s="31" t="s">
        <v>19</v>
      </c>
      <c r="D45" s="46" t="s">
        <v>449</v>
      </c>
      <c r="E45" s="33">
        <v>4</v>
      </c>
      <c r="F45" s="31">
        <f t="shared" si="9"/>
        <v>3</v>
      </c>
      <c r="G45" s="33"/>
      <c r="H45" s="33"/>
      <c r="I45" s="33">
        <v>3</v>
      </c>
      <c r="J45" s="33"/>
      <c r="K45" s="33"/>
      <c r="L45" s="33"/>
      <c r="M45" s="69" t="s">
        <v>402</v>
      </c>
      <c r="N45" s="69" t="s">
        <v>403</v>
      </c>
      <c r="O45" s="46" t="s">
        <v>17</v>
      </c>
    </row>
    <row r="46" spans="1:15" customFormat="1" ht="16.5" customHeight="1">
      <c r="A46" s="92"/>
      <c r="B46" s="92"/>
      <c r="C46" s="31" t="s">
        <v>19</v>
      </c>
      <c r="D46" s="46" t="s">
        <v>432</v>
      </c>
      <c r="E46" s="33">
        <v>4</v>
      </c>
      <c r="F46" s="31">
        <f t="shared" si="9"/>
        <v>3</v>
      </c>
      <c r="G46" s="33"/>
      <c r="H46" s="33"/>
      <c r="I46" s="33">
        <v>3</v>
      </c>
      <c r="J46" s="33"/>
      <c r="K46" s="33"/>
      <c r="L46" s="33"/>
      <c r="M46" s="69" t="s">
        <v>402</v>
      </c>
      <c r="N46" s="69" t="s">
        <v>403</v>
      </c>
      <c r="O46" s="46" t="s">
        <v>17</v>
      </c>
    </row>
    <row r="47" spans="1:15" customFormat="1" ht="16.5" customHeight="1">
      <c r="A47" s="92"/>
      <c r="B47" s="92"/>
      <c r="C47" s="31" t="s">
        <v>19</v>
      </c>
      <c r="D47" s="46" t="s">
        <v>431</v>
      </c>
      <c r="E47" s="33">
        <v>4</v>
      </c>
      <c r="F47" s="31">
        <f t="shared" si="9"/>
        <v>3</v>
      </c>
      <c r="G47" s="33"/>
      <c r="H47" s="33"/>
      <c r="I47" s="33">
        <v>3</v>
      </c>
      <c r="J47" s="33"/>
      <c r="K47" s="33"/>
      <c r="L47" s="33"/>
      <c r="M47" s="69" t="s">
        <v>402</v>
      </c>
      <c r="N47" s="69" t="s">
        <v>403</v>
      </c>
      <c r="O47" s="46" t="s">
        <v>17</v>
      </c>
    </row>
    <row r="48" spans="1:15" customFormat="1" ht="16.5" customHeight="1">
      <c r="A48" s="92"/>
      <c r="B48" s="92"/>
      <c r="C48" s="31" t="s">
        <v>37</v>
      </c>
      <c r="D48" s="46" t="s">
        <v>461</v>
      </c>
      <c r="E48" s="33">
        <v>4</v>
      </c>
      <c r="F48" s="31">
        <f t="shared" si="9"/>
        <v>3</v>
      </c>
      <c r="G48" s="33"/>
      <c r="H48" s="33"/>
      <c r="I48" s="33"/>
      <c r="J48" s="33"/>
      <c r="K48" s="33"/>
      <c r="L48" s="33"/>
      <c r="M48" s="70" t="s">
        <v>403</v>
      </c>
      <c r="N48" s="69" t="s">
        <v>403</v>
      </c>
      <c r="O48" s="46" t="s">
        <v>17</v>
      </c>
    </row>
    <row r="49" spans="1:15" customFormat="1" ht="16.5" customHeight="1">
      <c r="A49" s="92"/>
      <c r="B49" s="89" t="s">
        <v>505</v>
      </c>
      <c r="C49" s="31" t="s">
        <v>19</v>
      </c>
      <c r="D49" s="72" t="s">
        <v>434</v>
      </c>
      <c r="E49" s="33">
        <v>4</v>
      </c>
      <c r="F49" s="31">
        <f t="shared" si="9"/>
        <v>3</v>
      </c>
      <c r="G49" s="33"/>
      <c r="H49" s="33"/>
      <c r="I49" s="33"/>
      <c r="J49" s="33"/>
      <c r="K49" s="33"/>
      <c r="L49" s="33"/>
      <c r="M49" s="69" t="s">
        <v>402</v>
      </c>
      <c r="N49" s="69" t="s">
        <v>403</v>
      </c>
      <c r="O49" s="46" t="s">
        <v>17</v>
      </c>
    </row>
    <row r="50" spans="1:15" customFormat="1" ht="16.5" customHeight="1">
      <c r="A50" s="92"/>
      <c r="B50" s="89"/>
      <c r="C50" s="31" t="s">
        <v>19</v>
      </c>
      <c r="D50" s="72" t="s">
        <v>435</v>
      </c>
      <c r="E50" s="33">
        <v>4</v>
      </c>
      <c r="F50" s="31">
        <f t="shared" si="9"/>
        <v>3</v>
      </c>
      <c r="G50" s="33"/>
      <c r="H50" s="33"/>
      <c r="I50" s="33"/>
      <c r="J50" s="33"/>
      <c r="K50" s="33"/>
      <c r="L50" s="33"/>
      <c r="M50" s="69" t="s">
        <v>402</v>
      </c>
      <c r="N50" s="69" t="s">
        <v>403</v>
      </c>
      <c r="O50" s="46" t="s">
        <v>17</v>
      </c>
    </row>
    <row r="51" spans="1:15" customFormat="1" ht="16.5" customHeight="1">
      <c r="A51" s="92"/>
      <c r="B51" s="89"/>
      <c r="C51" s="31" t="s">
        <v>19</v>
      </c>
      <c r="D51" s="72" t="s">
        <v>436</v>
      </c>
      <c r="E51" s="33">
        <v>4</v>
      </c>
      <c r="F51" s="31">
        <f t="shared" si="9"/>
        <v>3</v>
      </c>
      <c r="G51" s="33"/>
      <c r="H51" s="33"/>
      <c r="I51" s="33"/>
      <c r="J51" s="33"/>
      <c r="K51" s="33"/>
      <c r="L51" s="33"/>
      <c r="M51" s="69" t="s">
        <v>402</v>
      </c>
      <c r="N51" s="69" t="s">
        <v>403</v>
      </c>
      <c r="O51" s="46" t="s">
        <v>17</v>
      </c>
    </row>
    <row r="52" spans="1:15" customFormat="1" ht="16.5" customHeight="1">
      <c r="A52" s="92"/>
      <c r="B52" s="89"/>
      <c r="C52" s="31" t="s">
        <v>19</v>
      </c>
      <c r="D52" s="72" t="s">
        <v>437</v>
      </c>
      <c r="E52" s="33">
        <v>4</v>
      </c>
      <c r="F52" s="31">
        <f t="shared" si="9"/>
        <v>3</v>
      </c>
      <c r="G52" s="33"/>
      <c r="H52" s="33"/>
      <c r="I52" s="33"/>
      <c r="J52" s="33"/>
      <c r="K52" s="33"/>
      <c r="L52" s="33"/>
      <c r="M52" s="71" t="s">
        <v>402</v>
      </c>
      <c r="N52" s="69" t="s">
        <v>403</v>
      </c>
      <c r="O52" s="46" t="s">
        <v>17</v>
      </c>
    </row>
    <row r="53" spans="1:15" customFormat="1" ht="16.5" customHeight="1">
      <c r="A53" s="92" t="s">
        <v>42</v>
      </c>
      <c r="B53" s="33" t="s">
        <v>20</v>
      </c>
      <c r="C53" s="31" t="s">
        <v>37</v>
      </c>
      <c r="D53" s="46" t="s">
        <v>447</v>
      </c>
      <c r="E53" s="33">
        <v>4</v>
      </c>
      <c r="F53" s="31">
        <f t="shared" si="9"/>
        <v>3</v>
      </c>
      <c r="G53" s="33"/>
      <c r="H53" s="33"/>
      <c r="I53" s="33"/>
      <c r="J53" s="33">
        <v>3</v>
      </c>
      <c r="K53" s="33"/>
      <c r="L53" s="33"/>
      <c r="M53" s="69" t="s">
        <v>403</v>
      </c>
      <c r="N53" s="69" t="s">
        <v>402</v>
      </c>
      <c r="O53" s="46" t="s">
        <v>17</v>
      </c>
    </row>
    <row r="54" spans="1:15" customFormat="1" ht="16.5" customHeight="1">
      <c r="A54" s="92"/>
      <c r="B54" s="89" t="s">
        <v>506</v>
      </c>
      <c r="C54" s="31" t="s">
        <v>37</v>
      </c>
      <c r="D54" s="46" t="s">
        <v>462</v>
      </c>
      <c r="E54" s="33">
        <v>4</v>
      </c>
      <c r="F54" s="31">
        <f t="shared" si="9"/>
        <v>3</v>
      </c>
      <c r="G54" s="33"/>
      <c r="H54" s="33"/>
      <c r="I54" s="33"/>
      <c r="J54" s="33">
        <v>3</v>
      </c>
      <c r="K54" s="33"/>
      <c r="L54" s="33"/>
      <c r="M54" s="69" t="s">
        <v>403</v>
      </c>
      <c r="N54" s="69" t="s">
        <v>402</v>
      </c>
      <c r="O54" s="46" t="s">
        <v>17</v>
      </c>
    </row>
    <row r="55" spans="1:15" customFormat="1" ht="16.5" customHeight="1">
      <c r="A55" s="92"/>
      <c r="B55" s="89"/>
      <c r="C55" s="31" t="s">
        <v>37</v>
      </c>
      <c r="D55" s="46" t="s">
        <v>463</v>
      </c>
      <c r="E55" s="33">
        <v>4</v>
      </c>
      <c r="F55" s="31">
        <f t="shared" si="9"/>
        <v>3</v>
      </c>
      <c r="G55" s="33"/>
      <c r="H55" s="33"/>
      <c r="I55" s="33"/>
      <c r="J55" s="33">
        <v>3</v>
      </c>
      <c r="K55" s="33"/>
      <c r="L55" s="33"/>
      <c r="M55" s="69" t="s">
        <v>403</v>
      </c>
      <c r="N55" s="69" t="s">
        <v>402</v>
      </c>
      <c r="O55" s="46" t="s">
        <v>17</v>
      </c>
    </row>
    <row r="56" spans="1:15" customFormat="1" ht="16.5" customHeight="1">
      <c r="A56" s="92"/>
      <c r="B56" s="89"/>
      <c r="C56" s="31" t="s">
        <v>37</v>
      </c>
      <c r="D56" s="46" t="s">
        <v>464</v>
      </c>
      <c r="E56" s="33">
        <v>4</v>
      </c>
      <c r="F56" s="31">
        <f t="shared" si="9"/>
        <v>3</v>
      </c>
      <c r="G56" s="33"/>
      <c r="H56" s="33"/>
      <c r="I56" s="33"/>
      <c r="J56" s="33">
        <v>3</v>
      </c>
      <c r="K56" s="33"/>
      <c r="L56" s="33"/>
      <c r="M56" s="70" t="s">
        <v>403</v>
      </c>
      <c r="N56" s="70" t="s">
        <v>402</v>
      </c>
      <c r="O56" s="46" t="s">
        <v>17</v>
      </c>
    </row>
    <row r="57" spans="1:15" customFormat="1" ht="16.5" customHeight="1">
      <c r="A57" s="92"/>
      <c r="B57" s="89"/>
      <c r="C57" s="31" t="s">
        <v>37</v>
      </c>
      <c r="D57" s="46" t="s">
        <v>465</v>
      </c>
      <c r="E57" s="33">
        <v>4</v>
      </c>
      <c r="F57" s="31">
        <f t="shared" si="9"/>
        <v>3</v>
      </c>
      <c r="G57" s="33"/>
      <c r="H57" s="33"/>
      <c r="I57" s="33"/>
      <c r="J57" s="33"/>
      <c r="K57" s="33"/>
      <c r="L57" s="33"/>
      <c r="M57" s="69" t="s">
        <v>403</v>
      </c>
      <c r="N57" s="69" t="s">
        <v>402</v>
      </c>
      <c r="O57" s="46" t="s">
        <v>17</v>
      </c>
    </row>
    <row r="58" spans="1:15" customFormat="1" ht="16.5" customHeight="1">
      <c r="A58" s="92"/>
      <c r="B58" s="89" t="s">
        <v>505</v>
      </c>
      <c r="C58" s="31" t="s">
        <v>37</v>
      </c>
      <c r="D58" s="72" t="s">
        <v>452</v>
      </c>
      <c r="E58" s="33">
        <v>4</v>
      </c>
      <c r="F58" s="31">
        <f t="shared" si="9"/>
        <v>3</v>
      </c>
      <c r="G58" s="33"/>
      <c r="H58" s="33"/>
      <c r="I58" s="33"/>
      <c r="J58" s="33"/>
      <c r="K58" s="33"/>
      <c r="L58" s="33"/>
      <c r="M58" s="69" t="s">
        <v>403</v>
      </c>
      <c r="N58" s="69" t="s">
        <v>402</v>
      </c>
      <c r="O58" s="46" t="s">
        <v>17</v>
      </c>
    </row>
    <row r="59" spans="1:15" customFormat="1" ht="16.5" customHeight="1">
      <c r="A59" s="92"/>
      <c r="B59" s="89"/>
      <c r="C59" s="31" t="s">
        <v>37</v>
      </c>
      <c r="D59" s="72" t="s">
        <v>466</v>
      </c>
      <c r="E59" s="33">
        <v>4</v>
      </c>
      <c r="F59" s="31">
        <f t="shared" si="9"/>
        <v>3</v>
      </c>
      <c r="G59" s="33"/>
      <c r="H59" s="33"/>
      <c r="I59" s="33"/>
      <c r="J59" s="33"/>
      <c r="K59" s="33"/>
      <c r="L59" s="33"/>
      <c r="M59" s="69" t="s">
        <v>403</v>
      </c>
      <c r="N59" s="69" t="s">
        <v>402</v>
      </c>
      <c r="O59" s="46" t="s">
        <v>17</v>
      </c>
    </row>
    <row r="60" spans="1:15" customFormat="1" ht="16.5" customHeight="1">
      <c r="A60" s="92"/>
      <c r="B60" s="89"/>
      <c r="C60" s="31" t="s">
        <v>37</v>
      </c>
      <c r="D60" s="72" t="s">
        <v>467</v>
      </c>
      <c r="E60" s="33">
        <v>4</v>
      </c>
      <c r="F60" s="31">
        <f t="shared" si="9"/>
        <v>3</v>
      </c>
      <c r="G60" s="33"/>
      <c r="H60" s="33"/>
      <c r="I60" s="33"/>
      <c r="J60" s="33"/>
      <c r="K60" s="33"/>
      <c r="L60" s="33"/>
      <c r="M60" s="71" t="s">
        <v>403</v>
      </c>
      <c r="N60" s="71" t="s">
        <v>402</v>
      </c>
      <c r="O60" s="46" t="s">
        <v>17</v>
      </c>
    </row>
    <row r="61" spans="1:15" customFormat="1" ht="16.5" customHeight="1">
      <c r="A61" s="92"/>
      <c r="B61" s="89"/>
      <c r="C61" s="31" t="s">
        <v>37</v>
      </c>
      <c r="D61" s="72" t="s">
        <v>561</v>
      </c>
      <c r="E61" s="33">
        <v>4</v>
      </c>
      <c r="F61" s="31">
        <f t="shared" si="9"/>
        <v>3</v>
      </c>
      <c r="G61" s="33"/>
      <c r="H61" s="33"/>
      <c r="I61" s="33"/>
      <c r="J61" s="33"/>
      <c r="K61" s="33"/>
      <c r="L61" s="33"/>
      <c r="M61" s="69" t="s">
        <v>403</v>
      </c>
      <c r="N61" s="71" t="s">
        <v>402</v>
      </c>
      <c r="O61" s="46" t="s">
        <v>17</v>
      </c>
    </row>
    <row r="62" spans="1:15" customFormat="1" ht="16.5" customHeight="1">
      <c r="A62" s="92"/>
      <c r="B62" s="89"/>
      <c r="C62" s="31" t="s">
        <v>37</v>
      </c>
      <c r="D62" s="72" t="s">
        <v>468</v>
      </c>
      <c r="E62" s="33">
        <v>4</v>
      </c>
      <c r="F62" s="31">
        <f t="shared" si="9"/>
        <v>3</v>
      </c>
      <c r="G62" s="33"/>
      <c r="H62" s="33"/>
      <c r="I62" s="33"/>
      <c r="J62" s="33"/>
      <c r="K62" s="33"/>
      <c r="L62" s="33"/>
      <c r="M62" s="69" t="s">
        <v>403</v>
      </c>
      <c r="N62" s="69" t="s">
        <v>403</v>
      </c>
      <c r="O62" s="46" t="s">
        <v>17</v>
      </c>
    </row>
    <row r="63" spans="1:15" customFormat="1" ht="16.5" customHeight="1">
      <c r="A63" s="92" t="s">
        <v>43</v>
      </c>
      <c r="B63" s="92" t="s">
        <v>438</v>
      </c>
      <c r="C63" s="31" t="s">
        <v>19</v>
      </c>
      <c r="D63" s="46" t="s">
        <v>439</v>
      </c>
      <c r="E63" s="33">
        <v>4</v>
      </c>
      <c r="F63" s="31">
        <f t="shared" si="9"/>
        <v>3</v>
      </c>
      <c r="G63" s="33"/>
      <c r="H63" s="33"/>
      <c r="I63" s="33">
        <v>3</v>
      </c>
      <c r="J63" s="33"/>
      <c r="K63" s="33"/>
      <c r="L63" s="33"/>
      <c r="M63" s="69" t="s">
        <v>402</v>
      </c>
      <c r="N63" s="69" t="s">
        <v>403</v>
      </c>
      <c r="O63" s="46" t="s">
        <v>17</v>
      </c>
    </row>
    <row r="64" spans="1:15" customFormat="1" ht="16.5" customHeight="1">
      <c r="A64" s="92"/>
      <c r="B64" s="92"/>
      <c r="C64" s="31" t="s">
        <v>19</v>
      </c>
      <c r="D64" s="46" t="s">
        <v>469</v>
      </c>
      <c r="E64" s="33">
        <v>4</v>
      </c>
      <c r="F64" s="31">
        <f t="shared" si="9"/>
        <v>3</v>
      </c>
      <c r="G64" s="33"/>
      <c r="H64" s="33"/>
      <c r="I64" s="33"/>
      <c r="J64" s="83"/>
      <c r="K64" s="33"/>
      <c r="L64" s="33"/>
      <c r="M64" s="71" t="s">
        <v>402</v>
      </c>
      <c r="N64" s="69" t="s">
        <v>403</v>
      </c>
      <c r="O64" s="46" t="s">
        <v>17</v>
      </c>
    </row>
    <row r="65" spans="1:15" customFormat="1" ht="16.5" customHeight="1">
      <c r="A65" s="92" t="s">
        <v>44</v>
      </c>
      <c r="B65" s="92" t="s">
        <v>438</v>
      </c>
      <c r="C65" s="31" t="s">
        <v>37</v>
      </c>
      <c r="D65" s="46" t="s">
        <v>440</v>
      </c>
      <c r="E65" s="33">
        <v>4</v>
      </c>
      <c r="F65" s="31">
        <f t="shared" si="9"/>
        <v>3</v>
      </c>
      <c r="G65" s="33"/>
      <c r="H65" s="33"/>
      <c r="I65" s="33"/>
      <c r="J65" s="33">
        <v>3</v>
      </c>
      <c r="K65" s="33"/>
      <c r="L65" s="33"/>
      <c r="M65" s="69" t="s">
        <v>403</v>
      </c>
      <c r="N65" s="69" t="s">
        <v>402</v>
      </c>
      <c r="O65" s="46" t="s">
        <v>17</v>
      </c>
    </row>
    <row r="66" spans="1:15" customFormat="1" ht="16.5" customHeight="1">
      <c r="A66" s="92"/>
      <c r="B66" s="92"/>
      <c r="C66" s="31" t="s">
        <v>37</v>
      </c>
      <c r="D66" s="46" t="s">
        <v>470</v>
      </c>
      <c r="E66" s="33">
        <v>4</v>
      </c>
      <c r="F66" s="31">
        <f t="shared" si="9"/>
        <v>3</v>
      </c>
      <c r="G66" s="33"/>
      <c r="H66" s="33"/>
      <c r="I66" s="33"/>
      <c r="J66" s="33"/>
      <c r="K66" s="33"/>
      <c r="L66" s="33"/>
      <c r="M66" s="69" t="s">
        <v>403</v>
      </c>
      <c r="N66" s="69" t="s">
        <v>402</v>
      </c>
      <c r="O66" s="46" t="s">
        <v>17</v>
      </c>
    </row>
    <row r="67" spans="1:15" s="26" customFormat="1" ht="16.5">
      <c r="A67" s="92" t="s">
        <v>566</v>
      </c>
      <c r="B67" s="35" t="s">
        <v>513</v>
      </c>
      <c r="C67" s="31" t="s">
        <v>37</v>
      </c>
      <c r="D67" s="46" t="s">
        <v>471</v>
      </c>
      <c r="E67" s="33">
        <v>4</v>
      </c>
      <c r="F67" s="31">
        <f t="shared" si="9"/>
        <v>3</v>
      </c>
      <c r="G67" s="33"/>
      <c r="H67" s="33"/>
      <c r="I67" s="33"/>
      <c r="J67" s="33"/>
      <c r="K67" s="33">
        <v>3</v>
      </c>
      <c r="L67" s="33"/>
      <c r="M67" s="79" t="s">
        <v>402</v>
      </c>
      <c r="N67" s="79" t="s">
        <v>403</v>
      </c>
      <c r="O67" s="46" t="s">
        <v>17</v>
      </c>
    </row>
    <row r="68" spans="1:15" s="26" customFormat="1" ht="16.5">
      <c r="A68" s="92"/>
      <c r="B68" s="92" t="s">
        <v>20</v>
      </c>
      <c r="C68" s="31" t="s">
        <v>37</v>
      </c>
      <c r="D68" s="46" t="s">
        <v>472</v>
      </c>
      <c r="E68" s="33">
        <v>4</v>
      </c>
      <c r="F68" s="31">
        <f t="shared" si="9"/>
        <v>3</v>
      </c>
      <c r="G68" s="33"/>
      <c r="H68" s="33"/>
      <c r="I68" s="33"/>
      <c r="J68" s="33"/>
      <c r="K68" s="33">
        <v>3</v>
      </c>
      <c r="L68" s="33"/>
      <c r="M68" s="69" t="s">
        <v>402</v>
      </c>
      <c r="N68" s="69" t="s">
        <v>403</v>
      </c>
      <c r="O68" s="46" t="s">
        <v>17</v>
      </c>
    </row>
    <row r="69" spans="1:15" s="26" customFormat="1" ht="16.5">
      <c r="A69" s="92"/>
      <c r="B69" s="92"/>
      <c r="C69" s="31" t="s">
        <v>37</v>
      </c>
      <c r="D69" s="46" t="s">
        <v>448</v>
      </c>
      <c r="E69" s="33">
        <v>4</v>
      </c>
      <c r="F69" s="31">
        <f t="shared" si="9"/>
        <v>3</v>
      </c>
      <c r="G69" s="33"/>
      <c r="H69" s="33"/>
      <c r="I69" s="33"/>
      <c r="J69" s="33"/>
      <c r="K69" s="33">
        <v>3</v>
      </c>
      <c r="L69" s="33"/>
      <c r="M69" s="69" t="s">
        <v>402</v>
      </c>
      <c r="N69" s="69" t="s">
        <v>403</v>
      </c>
      <c r="O69" s="46" t="s">
        <v>17</v>
      </c>
    </row>
    <row r="70" spans="1:15" s="26" customFormat="1" ht="16.5">
      <c r="A70" s="92"/>
      <c r="B70" s="33" t="s">
        <v>23</v>
      </c>
      <c r="C70" s="31" t="s">
        <v>38</v>
      </c>
      <c r="D70" s="46" t="s">
        <v>473</v>
      </c>
      <c r="E70" s="33">
        <v>4</v>
      </c>
      <c r="F70" s="31">
        <f t="shared" si="9"/>
        <v>3</v>
      </c>
      <c r="G70" s="33"/>
      <c r="H70" s="33"/>
      <c r="I70" s="33"/>
      <c r="J70" s="33"/>
      <c r="K70" s="33">
        <v>3</v>
      </c>
      <c r="L70" s="33"/>
      <c r="M70" s="69" t="s">
        <v>402</v>
      </c>
      <c r="N70" s="69" t="s">
        <v>403</v>
      </c>
      <c r="O70" s="46" t="s">
        <v>17</v>
      </c>
    </row>
    <row r="71" spans="1:15" s="26" customFormat="1" ht="16.5">
      <c r="A71" s="92"/>
      <c r="B71" s="92" t="s">
        <v>424</v>
      </c>
      <c r="C71" s="31" t="s">
        <v>37</v>
      </c>
      <c r="D71" s="46" t="s">
        <v>474</v>
      </c>
      <c r="E71" s="33">
        <v>4</v>
      </c>
      <c r="F71" s="31">
        <f t="shared" si="9"/>
        <v>3</v>
      </c>
      <c r="G71" s="33"/>
      <c r="H71" s="33"/>
      <c r="I71" s="33"/>
      <c r="J71" s="33"/>
      <c r="K71" s="33"/>
      <c r="L71" s="33"/>
      <c r="M71" s="70" t="s">
        <v>403</v>
      </c>
      <c r="N71" s="69" t="s">
        <v>403</v>
      </c>
      <c r="O71" s="46" t="s">
        <v>17</v>
      </c>
    </row>
    <row r="72" spans="1:15" s="26" customFormat="1" ht="16.5">
      <c r="A72" s="92"/>
      <c r="B72" s="92"/>
      <c r="C72" s="31" t="s">
        <v>37</v>
      </c>
      <c r="D72" s="46" t="s">
        <v>475</v>
      </c>
      <c r="E72" s="33">
        <v>4</v>
      </c>
      <c r="F72" s="31">
        <f t="shared" si="9"/>
        <v>3</v>
      </c>
      <c r="G72" s="33"/>
      <c r="H72" s="33"/>
      <c r="I72" s="33"/>
      <c r="J72" s="33"/>
      <c r="K72" s="33"/>
      <c r="L72" s="33"/>
      <c r="M72" s="69" t="s">
        <v>402</v>
      </c>
      <c r="N72" s="69" t="s">
        <v>403</v>
      </c>
      <c r="O72" s="46" t="s">
        <v>17</v>
      </c>
    </row>
    <row r="73" spans="1:15" s="26" customFormat="1" ht="16.5">
      <c r="A73" s="92"/>
      <c r="B73" s="92"/>
      <c r="C73" s="31" t="s">
        <v>37</v>
      </c>
      <c r="D73" s="46" t="s">
        <v>476</v>
      </c>
      <c r="E73" s="33">
        <v>4</v>
      </c>
      <c r="F73" s="31">
        <f t="shared" si="9"/>
        <v>3</v>
      </c>
      <c r="G73" s="33"/>
      <c r="H73" s="33"/>
      <c r="I73" s="33"/>
      <c r="J73" s="33"/>
      <c r="K73" s="33"/>
      <c r="L73" s="33"/>
      <c r="M73" s="69" t="s">
        <v>402</v>
      </c>
      <c r="N73" s="69" t="s">
        <v>403</v>
      </c>
      <c r="O73" s="46" t="s">
        <v>17</v>
      </c>
    </row>
    <row r="74" spans="1:15" s="26" customFormat="1" ht="16.5">
      <c r="A74" s="92"/>
      <c r="B74" s="92"/>
      <c r="C74" s="31" t="s">
        <v>37</v>
      </c>
      <c r="D74" s="46" t="s">
        <v>477</v>
      </c>
      <c r="E74" s="33">
        <v>4</v>
      </c>
      <c r="F74" s="31">
        <f t="shared" si="9"/>
        <v>3</v>
      </c>
      <c r="G74" s="33"/>
      <c r="H74" s="33"/>
      <c r="I74" s="33"/>
      <c r="J74" s="33"/>
      <c r="K74" s="33"/>
      <c r="L74" s="33"/>
      <c r="M74" s="69" t="s">
        <v>402</v>
      </c>
      <c r="N74" s="69" t="s">
        <v>403</v>
      </c>
      <c r="O74" s="46" t="s">
        <v>17</v>
      </c>
    </row>
    <row r="75" spans="1:15" s="26" customFormat="1" ht="16.5">
      <c r="A75" s="92"/>
      <c r="B75" s="92"/>
      <c r="C75" s="31" t="s">
        <v>38</v>
      </c>
      <c r="D75" s="46" t="s">
        <v>478</v>
      </c>
      <c r="E75" s="33">
        <v>4</v>
      </c>
      <c r="F75" s="31">
        <f t="shared" si="9"/>
        <v>3</v>
      </c>
      <c r="G75" s="33"/>
      <c r="H75" s="33"/>
      <c r="I75" s="33"/>
      <c r="J75" s="33"/>
      <c r="K75" s="33"/>
      <c r="L75" s="33"/>
      <c r="M75" s="71" t="s">
        <v>402</v>
      </c>
      <c r="N75" s="69" t="s">
        <v>403</v>
      </c>
      <c r="O75" s="46" t="s">
        <v>46</v>
      </c>
    </row>
    <row r="76" spans="1:15" s="26" customFormat="1" ht="16.5">
      <c r="A76" s="92"/>
      <c r="B76" s="92" t="s">
        <v>425</v>
      </c>
      <c r="C76" s="31" t="s">
        <v>37</v>
      </c>
      <c r="D76" s="46" t="s">
        <v>479</v>
      </c>
      <c r="E76" s="33">
        <v>4</v>
      </c>
      <c r="F76" s="31">
        <f t="shared" si="9"/>
        <v>3</v>
      </c>
      <c r="G76" s="33"/>
      <c r="H76" s="33"/>
      <c r="I76" s="33"/>
      <c r="J76" s="33"/>
      <c r="K76" s="33"/>
      <c r="L76" s="33"/>
      <c r="M76" s="69" t="s">
        <v>403</v>
      </c>
      <c r="N76" s="69" t="s">
        <v>402</v>
      </c>
      <c r="O76" s="46" t="s">
        <v>17</v>
      </c>
    </row>
    <row r="77" spans="1:15" s="26" customFormat="1" ht="16.5">
      <c r="A77" s="92"/>
      <c r="B77" s="92"/>
      <c r="C77" s="31" t="s">
        <v>37</v>
      </c>
      <c r="D77" s="46" t="s">
        <v>480</v>
      </c>
      <c r="E77" s="33">
        <v>4</v>
      </c>
      <c r="F77" s="31">
        <f t="shared" si="9"/>
        <v>3</v>
      </c>
      <c r="G77" s="33"/>
      <c r="H77" s="33"/>
      <c r="I77" s="33"/>
      <c r="J77" s="33"/>
      <c r="K77" s="33"/>
      <c r="L77" s="33"/>
      <c r="M77" s="69" t="s">
        <v>403</v>
      </c>
      <c r="N77" s="69" t="s">
        <v>402</v>
      </c>
      <c r="O77" s="46" t="s">
        <v>17</v>
      </c>
    </row>
    <row r="78" spans="1:15" s="26" customFormat="1" ht="16.5">
      <c r="A78" s="92"/>
      <c r="B78" s="92"/>
      <c r="C78" s="31" t="s">
        <v>37</v>
      </c>
      <c r="D78" s="46" t="s">
        <v>481</v>
      </c>
      <c r="E78" s="33">
        <v>4</v>
      </c>
      <c r="F78" s="31">
        <f t="shared" si="9"/>
        <v>3</v>
      </c>
      <c r="G78" s="33"/>
      <c r="H78" s="33"/>
      <c r="I78" s="33"/>
      <c r="J78" s="33"/>
      <c r="K78" s="33"/>
      <c r="L78" s="33"/>
      <c r="M78" s="69" t="s">
        <v>403</v>
      </c>
      <c r="N78" s="69" t="s">
        <v>402</v>
      </c>
      <c r="O78" s="46" t="s">
        <v>17</v>
      </c>
    </row>
    <row r="79" spans="1:15" s="26" customFormat="1" ht="16.5">
      <c r="A79" s="92"/>
      <c r="B79" s="92"/>
      <c r="C79" s="31" t="s">
        <v>37</v>
      </c>
      <c r="D79" s="46" t="s">
        <v>482</v>
      </c>
      <c r="E79" s="33">
        <v>4</v>
      </c>
      <c r="F79" s="31">
        <f t="shared" si="9"/>
        <v>3</v>
      </c>
      <c r="G79" s="33"/>
      <c r="H79" s="33"/>
      <c r="I79" s="33"/>
      <c r="J79" s="33"/>
      <c r="K79" s="33"/>
      <c r="L79" s="33"/>
      <c r="M79" s="70" t="s">
        <v>403</v>
      </c>
      <c r="N79" s="70" t="s">
        <v>402</v>
      </c>
      <c r="O79" s="46" t="s">
        <v>17</v>
      </c>
    </row>
    <row r="80" spans="1:15" s="26" customFormat="1" ht="16.5">
      <c r="A80" s="92"/>
      <c r="B80" s="92"/>
      <c r="C80" s="31" t="s">
        <v>37</v>
      </c>
      <c r="D80" s="46" t="s">
        <v>483</v>
      </c>
      <c r="E80" s="33">
        <v>4</v>
      </c>
      <c r="F80" s="31">
        <f t="shared" si="9"/>
        <v>3</v>
      </c>
      <c r="G80" s="33"/>
      <c r="H80" s="33"/>
      <c r="I80" s="33"/>
      <c r="J80" s="33"/>
      <c r="K80" s="33"/>
      <c r="L80" s="33"/>
      <c r="M80" s="69" t="s">
        <v>403</v>
      </c>
      <c r="N80" s="69" t="s">
        <v>402</v>
      </c>
      <c r="O80" s="46" t="s">
        <v>17</v>
      </c>
    </row>
    <row r="81" spans="1:15" s="26" customFormat="1" ht="16.5">
      <c r="A81" s="92"/>
      <c r="B81" s="92"/>
      <c r="C81" s="31" t="s">
        <v>37</v>
      </c>
      <c r="D81" s="46" t="s">
        <v>484</v>
      </c>
      <c r="E81" s="33">
        <v>4</v>
      </c>
      <c r="F81" s="31">
        <f t="shared" si="9"/>
        <v>3</v>
      </c>
      <c r="G81" s="33"/>
      <c r="H81" s="33"/>
      <c r="I81" s="33"/>
      <c r="J81" s="33"/>
      <c r="K81" s="33"/>
      <c r="L81" s="33"/>
      <c r="M81" s="69" t="s">
        <v>403</v>
      </c>
      <c r="N81" s="69" t="s">
        <v>402</v>
      </c>
      <c r="O81" s="46" t="s">
        <v>17</v>
      </c>
    </row>
    <row r="82" spans="1:15" s="26" customFormat="1" ht="17.25" customHeight="1">
      <c r="A82" s="92"/>
      <c r="B82" s="89" t="s">
        <v>348</v>
      </c>
      <c r="C82" s="31" t="s">
        <v>38</v>
      </c>
      <c r="D82" s="58" t="s">
        <v>485</v>
      </c>
      <c r="E82" s="33">
        <v>4</v>
      </c>
      <c r="F82" s="31">
        <f t="shared" si="9"/>
        <v>3</v>
      </c>
      <c r="G82" s="33"/>
      <c r="H82" s="33"/>
      <c r="I82" s="33"/>
      <c r="J82" s="33"/>
      <c r="K82" s="33"/>
      <c r="L82" s="33"/>
      <c r="M82" s="69" t="s">
        <v>403</v>
      </c>
      <c r="N82" s="69" t="s">
        <v>402</v>
      </c>
      <c r="O82" s="46" t="s">
        <v>17</v>
      </c>
    </row>
    <row r="83" spans="1:15" s="26" customFormat="1" ht="16.5">
      <c r="A83" s="92"/>
      <c r="B83" s="89"/>
      <c r="C83" s="31" t="s">
        <v>38</v>
      </c>
      <c r="D83" s="46" t="s">
        <v>486</v>
      </c>
      <c r="E83" s="33">
        <v>4</v>
      </c>
      <c r="F83" s="31">
        <f t="shared" si="9"/>
        <v>3</v>
      </c>
      <c r="G83" s="33"/>
      <c r="H83" s="33"/>
      <c r="I83" s="33"/>
      <c r="J83" s="33"/>
      <c r="K83" s="33"/>
      <c r="L83" s="33"/>
      <c r="M83" s="71" t="s">
        <v>403</v>
      </c>
      <c r="N83" s="71" t="s">
        <v>402</v>
      </c>
      <c r="O83" s="46" t="s">
        <v>17</v>
      </c>
    </row>
    <row r="84" spans="1:15" s="26" customFormat="1" ht="16.5">
      <c r="A84" s="92" t="s">
        <v>585</v>
      </c>
      <c r="B84" s="35" t="s">
        <v>513</v>
      </c>
      <c r="C84" s="31" t="s">
        <v>38</v>
      </c>
      <c r="D84" s="73" t="s">
        <v>487</v>
      </c>
      <c r="E84" s="33">
        <v>4</v>
      </c>
      <c r="F84" s="31">
        <f t="shared" si="9"/>
        <v>3</v>
      </c>
      <c r="G84" s="33"/>
      <c r="H84" s="33"/>
      <c r="I84" s="33"/>
      <c r="J84" s="33"/>
      <c r="K84" s="33"/>
      <c r="L84" s="33">
        <v>3</v>
      </c>
      <c r="M84" s="69" t="s">
        <v>403</v>
      </c>
      <c r="N84" s="71" t="s">
        <v>402</v>
      </c>
      <c r="O84" s="46" t="s">
        <v>17</v>
      </c>
    </row>
    <row r="85" spans="1:15" s="26" customFormat="1" ht="16.5">
      <c r="A85" s="92"/>
      <c r="B85" s="33" t="s">
        <v>20</v>
      </c>
      <c r="C85" s="31" t="s">
        <v>38</v>
      </c>
      <c r="D85" s="46" t="s">
        <v>446</v>
      </c>
      <c r="E85" s="33">
        <v>4</v>
      </c>
      <c r="F85" s="31">
        <f t="shared" si="9"/>
        <v>3</v>
      </c>
      <c r="G85" s="33"/>
      <c r="H85" s="33"/>
      <c r="I85" s="33"/>
      <c r="J85" s="33"/>
      <c r="K85" s="33"/>
      <c r="L85" s="33">
        <v>3</v>
      </c>
      <c r="M85" s="69" t="s">
        <v>403</v>
      </c>
      <c r="N85" s="69" t="s">
        <v>403</v>
      </c>
      <c r="O85" s="46" t="s">
        <v>17</v>
      </c>
    </row>
    <row r="86" spans="1:15" s="26" customFormat="1" ht="16.5">
      <c r="A86" s="92"/>
      <c r="B86" s="33" t="s">
        <v>326</v>
      </c>
      <c r="C86" s="31" t="s">
        <v>38</v>
      </c>
      <c r="D86" s="46" t="s">
        <v>488</v>
      </c>
      <c r="E86" s="33">
        <v>4</v>
      </c>
      <c r="F86" s="31">
        <f t="shared" si="9"/>
        <v>3</v>
      </c>
      <c r="G86" s="33"/>
      <c r="H86" s="33"/>
      <c r="I86" s="33"/>
      <c r="J86" s="33"/>
      <c r="K86" s="33"/>
      <c r="L86" s="33">
        <v>3</v>
      </c>
      <c r="M86" s="69" t="s">
        <v>402</v>
      </c>
      <c r="N86" s="69" t="s">
        <v>403</v>
      </c>
      <c r="O86" s="46" t="s">
        <v>17</v>
      </c>
    </row>
    <row r="87" spans="1:15" s="26" customFormat="1" ht="16.5">
      <c r="A87" s="92"/>
      <c r="B87" s="92" t="s">
        <v>506</v>
      </c>
      <c r="C87" s="31" t="s">
        <v>38</v>
      </c>
      <c r="D87" s="46" t="s">
        <v>489</v>
      </c>
      <c r="E87" s="33">
        <v>4</v>
      </c>
      <c r="F87" s="31">
        <f t="shared" si="9"/>
        <v>3</v>
      </c>
      <c r="G87" s="33"/>
      <c r="H87" s="33"/>
      <c r="I87" s="33"/>
      <c r="J87" s="33"/>
      <c r="K87" s="33"/>
      <c r="L87" s="33">
        <v>3</v>
      </c>
      <c r="M87" s="71" t="s">
        <v>402</v>
      </c>
      <c r="N87" s="69" t="s">
        <v>403</v>
      </c>
      <c r="O87" s="46" t="s">
        <v>46</v>
      </c>
    </row>
    <row r="88" spans="1:15" s="26" customFormat="1" ht="16.5">
      <c r="A88" s="92"/>
      <c r="B88" s="92"/>
      <c r="C88" s="31" t="s">
        <v>38</v>
      </c>
      <c r="D88" s="46" t="s">
        <v>490</v>
      </c>
      <c r="E88" s="33">
        <v>4</v>
      </c>
      <c r="F88" s="31">
        <f t="shared" si="9"/>
        <v>3</v>
      </c>
      <c r="G88" s="33"/>
      <c r="H88" s="33"/>
      <c r="I88" s="33"/>
      <c r="J88" s="33"/>
      <c r="K88" s="33"/>
      <c r="L88" s="33"/>
      <c r="M88" s="69" t="s">
        <v>403</v>
      </c>
      <c r="N88" s="69" t="s">
        <v>402</v>
      </c>
      <c r="O88" s="46" t="s">
        <v>46</v>
      </c>
    </row>
    <row r="89" spans="1:15" s="26" customFormat="1" ht="16.5">
      <c r="A89" s="92"/>
      <c r="B89" s="92"/>
      <c r="C89" s="31" t="s">
        <v>38</v>
      </c>
      <c r="D89" s="46" t="s">
        <v>451</v>
      </c>
      <c r="E89" s="33">
        <v>4</v>
      </c>
      <c r="F89" s="31">
        <f t="shared" si="9"/>
        <v>3</v>
      </c>
      <c r="G89" s="33"/>
      <c r="H89" s="33"/>
      <c r="I89" s="33"/>
      <c r="J89" s="33"/>
      <c r="K89" s="33"/>
      <c r="L89" s="33"/>
      <c r="M89" s="69" t="s">
        <v>403</v>
      </c>
      <c r="N89" s="69" t="s">
        <v>402</v>
      </c>
      <c r="O89" s="46" t="s">
        <v>46</v>
      </c>
    </row>
    <row r="90" spans="1:15" s="26" customFormat="1" ht="16.5">
      <c r="A90" s="92"/>
      <c r="B90" s="92"/>
      <c r="C90" s="31" t="s">
        <v>38</v>
      </c>
      <c r="D90" s="46" t="s">
        <v>450</v>
      </c>
      <c r="E90" s="33">
        <v>4</v>
      </c>
      <c r="F90" s="31">
        <f t="shared" si="9"/>
        <v>3</v>
      </c>
      <c r="G90" s="33"/>
      <c r="H90" s="33"/>
      <c r="I90" s="33"/>
      <c r="J90" s="33"/>
      <c r="K90" s="33"/>
      <c r="L90" s="33"/>
      <c r="M90" s="69" t="s">
        <v>403</v>
      </c>
      <c r="N90" s="69" t="s">
        <v>402</v>
      </c>
      <c r="O90" s="46" t="s">
        <v>46</v>
      </c>
    </row>
    <row r="91" spans="1:15" s="26" customFormat="1" ht="16.5">
      <c r="A91" s="92"/>
      <c r="B91" s="92"/>
      <c r="C91" s="31" t="s">
        <v>38</v>
      </c>
      <c r="D91" s="46" t="s">
        <v>491</v>
      </c>
      <c r="E91" s="33">
        <v>4</v>
      </c>
      <c r="F91" s="31">
        <v>4</v>
      </c>
      <c r="G91" s="33"/>
      <c r="H91" s="33"/>
      <c r="I91" s="33"/>
      <c r="J91" s="33"/>
      <c r="K91" s="33"/>
      <c r="L91" s="33"/>
      <c r="M91" s="69" t="s">
        <v>403</v>
      </c>
      <c r="N91" s="69" t="s">
        <v>402</v>
      </c>
      <c r="O91" s="46" t="s">
        <v>46</v>
      </c>
    </row>
    <row r="92" spans="1:15" s="26" customFormat="1" ht="16.5">
      <c r="A92" s="92"/>
      <c r="B92" s="89" t="s">
        <v>505</v>
      </c>
      <c r="C92" s="31" t="s">
        <v>37</v>
      </c>
      <c r="D92" s="46" t="s">
        <v>479</v>
      </c>
      <c r="E92" s="33">
        <v>4</v>
      </c>
      <c r="F92" s="31">
        <f t="shared" si="9"/>
        <v>4</v>
      </c>
      <c r="G92" s="33"/>
      <c r="H92" s="33"/>
      <c r="I92" s="33"/>
      <c r="J92" s="33"/>
      <c r="K92" s="33"/>
      <c r="L92" s="33"/>
      <c r="M92" s="69" t="s">
        <v>403</v>
      </c>
      <c r="N92" s="69" t="s">
        <v>402</v>
      </c>
      <c r="O92" s="46" t="s">
        <v>17</v>
      </c>
    </row>
    <row r="93" spans="1:15" s="26" customFormat="1" ht="16.5">
      <c r="A93" s="92"/>
      <c r="B93" s="89"/>
      <c r="C93" s="31" t="s">
        <v>37</v>
      </c>
      <c r="D93" s="46" t="s">
        <v>480</v>
      </c>
      <c r="E93" s="33">
        <v>4</v>
      </c>
      <c r="F93" s="31">
        <f t="shared" si="9"/>
        <v>4</v>
      </c>
      <c r="G93" s="33"/>
      <c r="H93" s="33"/>
      <c r="I93" s="33"/>
      <c r="J93" s="33"/>
      <c r="K93" s="33"/>
      <c r="L93" s="33"/>
      <c r="M93" s="69" t="s">
        <v>403</v>
      </c>
      <c r="N93" s="69" t="s">
        <v>402</v>
      </c>
      <c r="O93" s="46" t="s">
        <v>17</v>
      </c>
    </row>
    <row r="94" spans="1:15" s="26" customFormat="1" ht="16.5">
      <c r="A94" s="92"/>
      <c r="B94" s="89"/>
      <c r="C94" s="31" t="s">
        <v>37</v>
      </c>
      <c r="D94" s="46" t="s">
        <v>481</v>
      </c>
      <c r="E94" s="33">
        <v>4</v>
      </c>
      <c r="F94" s="31">
        <f t="shared" si="9"/>
        <v>4</v>
      </c>
      <c r="G94" s="33"/>
      <c r="H94" s="33"/>
      <c r="I94" s="33"/>
      <c r="J94" s="33"/>
      <c r="K94" s="33"/>
      <c r="L94" s="33"/>
      <c r="M94" s="69" t="s">
        <v>403</v>
      </c>
      <c r="N94" s="69" t="s">
        <v>402</v>
      </c>
      <c r="O94" s="46" t="s">
        <v>17</v>
      </c>
    </row>
    <row r="95" spans="1:15" s="26" customFormat="1" ht="16.5">
      <c r="A95" s="92"/>
      <c r="B95" s="89"/>
      <c r="C95" s="31" t="s">
        <v>37</v>
      </c>
      <c r="D95" s="46" t="s">
        <v>482</v>
      </c>
      <c r="E95" s="33">
        <v>4</v>
      </c>
      <c r="F95" s="31">
        <f t="shared" si="9"/>
        <v>4</v>
      </c>
      <c r="G95" s="33"/>
      <c r="H95" s="33"/>
      <c r="I95" s="33"/>
      <c r="J95" s="33"/>
      <c r="K95" s="33"/>
      <c r="L95" s="33"/>
      <c r="M95" s="69" t="s">
        <v>403</v>
      </c>
      <c r="N95" s="69" t="s">
        <v>402</v>
      </c>
      <c r="O95" s="46" t="s">
        <v>46</v>
      </c>
    </row>
    <row r="96" spans="1:15" s="26" customFormat="1" ht="16.5">
      <c r="A96" s="92"/>
      <c r="B96" s="89"/>
      <c r="C96" s="31" t="s">
        <v>38</v>
      </c>
      <c r="D96" s="46" t="s">
        <v>492</v>
      </c>
      <c r="E96" s="33">
        <v>4</v>
      </c>
      <c r="F96" s="31">
        <f t="shared" si="9"/>
        <v>4</v>
      </c>
      <c r="G96" s="33"/>
      <c r="H96" s="33"/>
      <c r="I96" s="33"/>
      <c r="J96" s="33"/>
      <c r="K96" s="33"/>
      <c r="L96" s="33"/>
      <c r="M96" s="69" t="s">
        <v>403</v>
      </c>
      <c r="N96" s="69" t="s">
        <v>402</v>
      </c>
      <c r="O96" s="46" t="s">
        <v>46</v>
      </c>
    </row>
    <row r="97" spans="1:15" s="26" customFormat="1" ht="16.5">
      <c r="A97" s="92"/>
      <c r="B97" s="89"/>
      <c r="C97" s="31" t="s">
        <v>38</v>
      </c>
      <c r="D97" s="46" t="s">
        <v>493</v>
      </c>
      <c r="E97" s="33">
        <v>4</v>
      </c>
      <c r="F97" s="31">
        <f t="shared" si="9"/>
        <v>4</v>
      </c>
      <c r="G97" s="33"/>
      <c r="H97" s="33"/>
      <c r="I97" s="33"/>
      <c r="J97" s="33"/>
      <c r="K97" s="33"/>
      <c r="L97" s="33"/>
      <c r="M97" s="69" t="s">
        <v>403</v>
      </c>
      <c r="N97" s="69" t="s">
        <v>402</v>
      </c>
      <c r="O97" s="46" t="s">
        <v>46</v>
      </c>
    </row>
    <row r="98" spans="1:15" s="26" customFormat="1" ht="16.5" customHeight="1">
      <c r="A98" s="92"/>
      <c r="B98" s="89" t="s">
        <v>348</v>
      </c>
      <c r="C98" s="31" t="s">
        <v>37</v>
      </c>
      <c r="D98" s="46" t="s">
        <v>494</v>
      </c>
      <c r="E98" s="33">
        <v>4</v>
      </c>
      <c r="F98" s="31">
        <f t="shared" si="9"/>
        <v>4</v>
      </c>
      <c r="G98" s="33"/>
      <c r="H98" s="33"/>
      <c r="I98" s="33"/>
      <c r="J98" s="33"/>
      <c r="K98" s="33"/>
      <c r="L98" s="33"/>
      <c r="M98" s="69" t="s">
        <v>403</v>
      </c>
      <c r="N98" s="69" t="s">
        <v>402</v>
      </c>
      <c r="O98" s="46" t="s">
        <v>17</v>
      </c>
    </row>
    <row r="99" spans="1:15" s="26" customFormat="1" ht="16.5" customHeight="1">
      <c r="A99" s="92"/>
      <c r="B99" s="89"/>
      <c r="C99" s="31" t="s">
        <v>37</v>
      </c>
      <c r="D99" s="46" t="s">
        <v>495</v>
      </c>
      <c r="E99" s="33">
        <v>4</v>
      </c>
      <c r="F99" s="31">
        <f t="shared" si="9"/>
        <v>4</v>
      </c>
      <c r="G99" s="33"/>
      <c r="H99" s="33"/>
      <c r="I99" s="33"/>
      <c r="J99" s="33"/>
      <c r="K99" s="33"/>
      <c r="L99" s="33"/>
      <c r="M99" s="69" t="s">
        <v>403</v>
      </c>
      <c r="N99" s="69" t="s">
        <v>402</v>
      </c>
      <c r="O99" s="46" t="s">
        <v>17</v>
      </c>
    </row>
    <row r="100" spans="1:15" s="26" customFormat="1" ht="16.5" customHeight="1">
      <c r="A100" s="99" t="s">
        <v>614</v>
      </c>
      <c r="B100" s="89" t="s">
        <v>514</v>
      </c>
      <c r="C100" s="31" t="s">
        <v>19</v>
      </c>
      <c r="D100" s="46" t="s">
        <v>444</v>
      </c>
      <c r="E100" s="33">
        <v>3</v>
      </c>
      <c r="F100" s="31">
        <v>2</v>
      </c>
      <c r="G100" s="33"/>
      <c r="H100" s="33"/>
      <c r="I100" s="33"/>
      <c r="J100" s="33"/>
      <c r="K100" s="33">
        <v>2</v>
      </c>
      <c r="L100" s="33">
        <v>2</v>
      </c>
      <c r="M100" s="69" t="s">
        <v>403</v>
      </c>
      <c r="N100" s="69" t="s">
        <v>402</v>
      </c>
      <c r="O100" s="46" t="s">
        <v>49</v>
      </c>
    </row>
    <row r="101" spans="1:15" s="26" customFormat="1" ht="16.5" customHeight="1">
      <c r="A101" s="99"/>
      <c r="B101" s="89"/>
      <c r="C101" s="31" t="s">
        <v>37</v>
      </c>
      <c r="D101" s="46" t="s">
        <v>443</v>
      </c>
      <c r="E101" s="33">
        <v>3</v>
      </c>
      <c r="F101" s="31">
        <v>2</v>
      </c>
      <c r="G101" s="33"/>
      <c r="H101" s="33"/>
      <c r="I101" s="33"/>
      <c r="J101" s="33"/>
      <c r="K101" s="33"/>
      <c r="L101" s="33"/>
      <c r="M101" s="69" t="s">
        <v>403</v>
      </c>
      <c r="N101" s="69" t="s">
        <v>402</v>
      </c>
      <c r="O101" s="46" t="s">
        <v>49</v>
      </c>
    </row>
    <row r="102" spans="1:15" s="26" customFormat="1" ht="16.5" customHeight="1">
      <c r="A102" s="99"/>
      <c r="B102" s="89"/>
      <c r="C102" s="31" t="s">
        <v>38</v>
      </c>
      <c r="D102" s="46" t="s">
        <v>496</v>
      </c>
      <c r="E102" s="33">
        <v>3</v>
      </c>
      <c r="F102" s="31">
        <v>2</v>
      </c>
      <c r="G102" s="33"/>
      <c r="H102" s="33"/>
      <c r="I102" s="33"/>
      <c r="J102" s="33"/>
      <c r="K102" s="33"/>
      <c r="L102" s="33"/>
      <c r="M102" s="69" t="s">
        <v>403</v>
      </c>
      <c r="N102" s="69" t="s">
        <v>402</v>
      </c>
      <c r="O102" s="46" t="s">
        <v>49</v>
      </c>
    </row>
    <row r="103" spans="1:15" s="26" customFormat="1" ht="16.5" customHeight="1">
      <c r="A103" s="99"/>
      <c r="B103" s="89"/>
      <c r="C103" s="31" t="s">
        <v>37</v>
      </c>
      <c r="D103" s="46" t="s">
        <v>445</v>
      </c>
      <c r="E103" s="33">
        <v>3</v>
      </c>
      <c r="F103" s="31">
        <v>2</v>
      </c>
      <c r="G103" s="33"/>
      <c r="H103" s="33"/>
      <c r="I103" s="33"/>
      <c r="J103" s="33"/>
      <c r="K103" s="33"/>
      <c r="L103" s="33"/>
      <c r="M103" s="69" t="s">
        <v>403</v>
      </c>
      <c r="N103" s="69" t="s">
        <v>402</v>
      </c>
      <c r="O103" s="46" t="s">
        <v>49</v>
      </c>
    </row>
    <row r="104" spans="1:15" s="26" customFormat="1" ht="16.5" customHeight="1">
      <c r="A104" s="89" t="s">
        <v>615</v>
      </c>
      <c r="B104" s="90"/>
      <c r="C104" s="31" t="s">
        <v>37</v>
      </c>
      <c r="D104" s="46" t="s">
        <v>616</v>
      </c>
      <c r="E104" s="33">
        <v>4</v>
      </c>
      <c r="F104" s="31">
        <v>3</v>
      </c>
      <c r="G104" s="33"/>
      <c r="H104" s="33"/>
      <c r="I104" s="33">
        <v>3</v>
      </c>
      <c r="J104" s="33"/>
      <c r="K104" s="33"/>
      <c r="L104" s="33"/>
      <c r="M104" s="69" t="s">
        <v>402</v>
      </c>
      <c r="N104" s="69" t="s">
        <v>403</v>
      </c>
      <c r="O104" s="46"/>
    </row>
    <row r="105" spans="1:15" s="26" customFormat="1" ht="16.5" customHeight="1">
      <c r="A105" s="90"/>
      <c r="B105" s="90"/>
      <c r="C105" s="31" t="s">
        <v>37</v>
      </c>
      <c r="D105" s="46" t="s">
        <v>617</v>
      </c>
      <c r="E105" s="33">
        <v>4</v>
      </c>
      <c r="F105" s="31">
        <v>3</v>
      </c>
      <c r="G105" s="33"/>
      <c r="H105" s="33"/>
      <c r="I105" s="33"/>
      <c r="J105" s="33">
        <v>3</v>
      </c>
      <c r="K105" s="33"/>
      <c r="L105" s="33"/>
      <c r="M105" s="69" t="s">
        <v>403</v>
      </c>
      <c r="N105" s="69" t="s">
        <v>402</v>
      </c>
      <c r="O105" s="46"/>
    </row>
    <row r="106" spans="1:15" s="26" customFormat="1" ht="16.5" customHeight="1">
      <c r="A106" s="90"/>
      <c r="B106" s="90"/>
      <c r="C106" s="31" t="s">
        <v>37</v>
      </c>
      <c r="D106" s="46" t="s">
        <v>618</v>
      </c>
      <c r="E106" s="33">
        <v>4</v>
      </c>
      <c r="F106" s="31">
        <v>3</v>
      </c>
      <c r="G106" s="33"/>
      <c r="H106" s="33"/>
      <c r="I106" s="33"/>
      <c r="J106" s="33"/>
      <c r="K106" s="33">
        <v>3</v>
      </c>
      <c r="L106" s="33"/>
      <c r="M106" s="69" t="s">
        <v>402</v>
      </c>
      <c r="N106" s="69" t="s">
        <v>403</v>
      </c>
      <c r="O106" s="46"/>
    </row>
    <row r="107" spans="1:15" s="26" customFormat="1" ht="16.5" customHeight="1">
      <c r="A107" s="90"/>
      <c r="B107" s="90"/>
      <c r="C107" s="31" t="s">
        <v>37</v>
      </c>
      <c r="D107" s="46" t="s">
        <v>619</v>
      </c>
      <c r="E107" s="33">
        <v>4</v>
      </c>
      <c r="F107" s="31">
        <v>3</v>
      </c>
      <c r="G107" s="33"/>
      <c r="H107" s="33"/>
      <c r="I107" s="33"/>
      <c r="J107" s="33">
        <v>3</v>
      </c>
      <c r="K107" s="33"/>
      <c r="L107" s="33"/>
      <c r="M107" s="69" t="s">
        <v>403</v>
      </c>
      <c r="N107" s="69" t="s">
        <v>402</v>
      </c>
      <c r="O107" s="46"/>
    </row>
    <row r="108" spans="1:15" s="26" customFormat="1" ht="16.5" customHeight="1">
      <c r="A108" s="90"/>
      <c r="B108" s="90"/>
      <c r="C108" s="31" t="s">
        <v>37</v>
      </c>
      <c r="D108" s="46" t="s">
        <v>620</v>
      </c>
      <c r="E108" s="33">
        <v>4</v>
      </c>
      <c r="F108" s="31">
        <v>3</v>
      </c>
      <c r="G108" s="33"/>
      <c r="H108" s="33"/>
      <c r="I108" s="33"/>
      <c r="J108" s="33"/>
      <c r="K108" s="33">
        <v>3</v>
      </c>
      <c r="L108" s="33"/>
      <c r="M108" s="69" t="s">
        <v>402</v>
      </c>
      <c r="N108" s="69" t="s">
        <v>403</v>
      </c>
      <c r="O108" s="46"/>
    </row>
    <row r="109" spans="1:15" customFormat="1" ht="16.5" customHeight="1">
      <c r="A109" s="96" t="s">
        <v>414</v>
      </c>
      <c r="B109" s="96"/>
      <c r="C109" s="96"/>
      <c r="D109" s="96"/>
      <c r="E109" s="81"/>
      <c r="F109" s="81"/>
      <c r="G109" s="80">
        <v>0</v>
      </c>
      <c r="H109" s="80">
        <f>SUM(H44:H108)</f>
        <v>0</v>
      </c>
      <c r="I109" s="80">
        <f>SUM(I44:I103)</f>
        <v>15</v>
      </c>
      <c r="J109" s="80">
        <f t="shared" ref="J109:L109" si="10">SUM(J44:J103)</f>
        <v>15</v>
      </c>
      <c r="K109" s="80">
        <f t="shared" si="10"/>
        <v>14</v>
      </c>
      <c r="L109" s="80">
        <f t="shared" si="10"/>
        <v>14</v>
      </c>
      <c r="M109" s="81"/>
      <c r="N109" s="81"/>
      <c r="O109" s="81"/>
    </row>
    <row r="110" spans="1:15" customFormat="1" ht="16.5">
      <c r="A110" s="97" t="s">
        <v>415</v>
      </c>
      <c r="B110" s="97"/>
      <c r="C110" s="97"/>
      <c r="D110" s="97"/>
      <c r="E110" s="84"/>
      <c r="F110" s="84"/>
      <c r="G110" s="85">
        <f t="shared" ref="G110:L110" si="11">SUM(G43,G109)</f>
        <v>29</v>
      </c>
      <c r="H110" s="85">
        <f t="shared" si="11"/>
        <v>29</v>
      </c>
      <c r="I110" s="85">
        <f t="shared" si="11"/>
        <v>29</v>
      </c>
      <c r="J110" s="85">
        <f t="shared" si="11"/>
        <v>29</v>
      </c>
      <c r="K110" s="85">
        <f t="shared" si="11"/>
        <v>29</v>
      </c>
      <c r="L110" s="85">
        <f t="shared" si="11"/>
        <v>29</v>
      </c>
      <c r="M110" s="84"/>
      <c r="N110" s="84"/>
      <c r="O110" s="84"/>
    </row>
    <row r="111" spans="1:15" customFormat="1" ht="16.5" customHeight="1">
      <c r="A111" s="98" t="s">
        <v>417</v>
      </c>
      <c r="B111" s="98"/>
      <c r="C111" s="98"/>
      <c r="D111" s="98"/>
      <c r="E111" s="84"/>
      <c r="F111" s="84"/>
      <c r="G111" s="85">
        <v>3</v>
      </c>
      <c r="H111" s="85">
        <v>3</v>
      </c>
      <c r="I111" s="85">
        <v>3</v>
      </c>
      <c r="J111" s="85">
        <v>3</v>
      </c>
      <c r="K111" s="85">
        <v>3</v>
      </c>
      <c r="L111" s="85">
        <v>3</v>
      </c>
      <c r="M111" s="84"/>
      <c r="N111" s="84"/>
      <c r="O111" s="84"/>
    </row>
    <row r="112" spans="1:15" customFormat="1" ht="16.5" customHeight="1">
      <c r="A112" s="95" t="s">
        <v>416</v>
      </c>
      <c r="B112" s="95"/>
      <c r="C112" s="95"/>
      <c r="D112" s="95"/>
      <c r="E112" s="86"/>
      <c r="F112" s="86"/>
      <c r="G112" s="87">
        <f>SUM(G110:G111)</f>
        <v>32</v>
      </c>
      <c r="H112" s="87">
        <f t="shared" ref="H112:K112" si="12">SUM(H110:H111)</f>
        <v>32</v>
      </c>
      <c r="I112" s="87">
        <f t="shared" si="12"/>
        <v>32</v>
      </c>
      <c r="J112" s="87">
        <f t="shared" si="12"/>
        <v>32</v>
      </c>
      <c r="K112" s="87">
        <f t="shared" si="12"/>
        <v>32</v>
      </c>
      <c r="L112" s="87">
        <f>SUM(L110:L111)</f>
        <v>32</v>
      </c>
      <c r="M112" s="86"/>
      <c r="N112" s="86"/>
      <c r="O112" s="86"/>
    </row>
  </sheetData>
  <mergeCells count="55">
    <mergeCell ref="A53:A62"/>
    <mergeCell ref="A63:A64"/>
    <mergeCell ref="A65:A66"/>
    <mergeCell ref="B65:B66"/>
    <mergeCell ref="B63:B64"/>
    <mergeCell ref="B58:B62"/>
    <mergeCell ref="B54:B57"/>
    <mergeCell ref="B49:B52"/>
    <mergeCell ref="A1:O1"/>
    <mergeCell ref="F3:F4"/>
    <mergeCell ref="G3:H3"/>
    <mergeCell ref="I3:J3"/>
    <mergeCell ref="K3:L3"/>
    <mergeCell ref="M3:N3"/>
    <mergeCell ref="O3:O4"/>
    <mergeCell ref="A2:O2"/>
    <mergeCell ref="A3:A4"/>
    <mergeCell ref="B3:B4"/>
    <mergeCell ref="D3:D4"/>
    <mergeCell ref="E3:E4"/>
    <mergeCell ref="C3:C4"/>
    <mergeCell ref="B5:B10"/>
    <mergeCell ref="B11:B16"/>
    <mergeCell ref="B31:B36"/>
    <mergeCell ref="B37:B40"/>
    <mergeCell ref="B41:B42"/>
    <mergeCell ref="B17:B22"/>
    <mergeCell ref="B23:B26"/>
    <mergeCell ref="B27:B30"/>
    <mergeCell ref="A112:D112"/>
    <mergeCell ref="A109:D109"/>
    <mergeCell ref="A110:D110"/>
    <mergeCell ref="A111:D111"/>
    <mergeCell ref="A67:A83"/>
    <mergeCell ref="A84:A99"/>
    <mergeCell ref="B87:B91"/>
    <mergeCell ref="B92:B97"/>
    <mergeCell ref="B98:B99"/>
    <mergeCell ref="A100:A103"/>
    <mergeCell ref="K39:K40"/>
    <mergeCell ref="L39:L40"/>
    <mergeCell ref="B100:B103"/>
    <mergeCell ref="A104:B108"/>
    <mergeCell ref="D37:D38"/>
    <mergeCell ref="G37:G38"/>
    <mergeCell ref="H37:H38"/>
    <mergeCell ref="D39:D40"/>
    <mergeCell ref="B68:B69"/>
    <mergeCell ref="B71:B75"/>
    <mergeCell ref="B76:B81"/>
    <mergeCell ref="B82:B83"/>
    <mergeCell ref="B44:B48"/>
    <mergeCell ref="A43:D43"/>
    <mergeCell ref="A44:A52"/>
    <mergeCell ref="A5:A42"/>
  </mergeCells>
  <phoneticPr fontId="15" type="noConversion"/>
  <conditionalFormatting sqref="C5:C101">
    <cfRule type="containsText" dxfId="9" priority="1" operator="containsText" text="입력오류">
      <formula>NOT(ISERROR(SEARCH("입력오류",C5)))</formula>
    </cfRule>
  </conditionalFormatting>
  <conditionalFormatting sqref="C109:C112">
    <cfRule type="containsText" dxfId="8" priority="2" operator="containsText" text="입력오류">
      <formula>NOT(ISERROR(SEARCH("입력오류",C109)))</formula>
    </cfRule>
  </conditionalFormatting>
  <dataValidations count="5">
    <dataValidation type="list" allowBlank="1" showInputMessage="1" showErrorMessage="1" sqref="M44:N108 M5:N42" xr:uid="{AFFD225C-2694-44EC-9E39-16997A020F28}">
      <formula1>"O, X"</formula1>
    </dataValidation>
    <dataValidation type="list" allowBlank="1" showErrorMessage="1" sqref="B5 B37:B39 B65 B53 B63 B44 B76 B85 B68 B70:B71" xr:uid="{6EA6BDD6-665E-4F0D-B342-BFDD366889B8}">
      <formula1>"국어,수학,영어,사회,과학,체육,예술,기술·가정,정보,제2외국어,한문,교양"</formula1>
    </dataValidation>
    <dataValidation type="list" allowBlank="1" showErrorMessage="1" sqref="C44:C108 C37:C42 C5:C35" xr:uid="{4E83D0B4-A211-4561-947E-F72D646D9934}">
      <formula1>"공통,일반,진로,융합,진로(전공),융합(전공)"</formula1>
    </dataValidation>
    <dataValidation type="list" allowBlank="1" showInputMessage="1" showErrorMessage="1" sqref="C36" xr:uid="{EEC4DD17-0CAD-44AF-B6E5-6972575A6FDD}">
      <formula1>"공통, 일반, 진로, 전문"</formula1>
    </dataValidation>
    <dataValidation type="list" allowBlank="1" showErrorMessage="1" sqref="O44:O108 O5:O42" xr:uid="{46071553-87CC-47D2-A2A3-352E10A5AEF4}">
      <formula1>"성취도 5단계+석차등급O,성취도 5단계+석차등급X,성취도 3단계,이수/미이수"</formula1>
    </dataValidation>
  </dataValidations>
  <pageMargins left="0.7" right="0.7" top="0.75" bottom="0.75" header="0.3" footer="0.3"/>
  <pageSetup paperSize="12" scale="62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A2ED4-6EED-46E7-8F4C-3819E56023B9}">
  <sheetPr codeName="Sheet3">
    <pageSetUpPr fitToPage="1"/>
  </sheetPr>
  <dimension ref="A1:P1000"/>
  <sheetViews>
    <sheetView zoomScaleNormal="100" workbookViewId="0">
      <pane ySplit="4" topLeftCell="A5" activePane="bottomLeft" state="frozen"/>
      <selection sqref="A1:O1"/>
      <selection pane="bottomLeft" activeCell="G39" sqref="G39"/>
    </sheetView>
  </sheetViews>
  <sheetFormatPr defaultColWidth="14.42578125" defaultRowHeight="15" customHeight="1"/>
  <cols>
    <col min="1" max="1" width="11.7109375" customWidth="1"/>
    <col min="2" max="2" width="9.5703125" customWidth="1"/>
    <col min="3" max="3" width="11.85546875" customWidth="1"/>
    <col min="4" max="4" width="24" customWidth="1"/>
    <col min="5" max="5" width="7.85546875" customWidth="1"/>
    <col min="6" max="6" width="7.7109375" customWidth="1"/>
    <col min="7" max="12" width="7.85546875" customWidth="1"/>
    <col min="13" max="13" width="9" customWidth="1"/>
    <col min="14" max="14" width="9.85546875" customWidth="1"/>
    <col min="15" max="15" width="24.140625" style="16" customWidth="1"/>
    <col min="16" max="23" width="9" customWidth="1"/>
  </cols>
  <sheetData>
    <row r="1" spans="1:16" ht="33" customHeight="1">
      <c r="A1" s="134" t="s">
        <v>611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</row>
    <row r="2" spans="1:16" ht="33" customHeight="1">
      <c r="A2" s="136" t="s">
        <v>607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29"/>
    </row>
    <row r="3" spans="1:16" ht="34.5" customHeight="1">
      <c r="A3" s="140" t="s">
        <v>412</v>
      </c>
      <c r="B3" s="139" t="s">
        <v>0</v>
      </c>
      <c r="C3" s="140" t="s">
        <v>1</v>
      </c>
      <c r="D3" s="139" t="s">
        <v>2</v>
      </c>
      <c r="E3" s="140" t="s">
        <v>3</v>
      </c>
      <c r="F3" s="140" t="s">
        <v>4</v>
      </c>
      <c r="G3" s="140" t="s">
        <v>5</v>
      </c>
      <c r="H3" s="113"/>
      <c r="I3" s="140" t="s">
        <v>6</v>
      </c>
      <c r="J3" s="113"/>
      <c r="K3" s="140" t="s">
        <v>7</v>
      </c>
      <c r="L3" s="113"/>
      <c r="M3" s="139" t="s">
        <v>8</v>
      </c>
      <c r="N3" s="113"/>
      <c r="O3" s="138" t="s">
        <v>9</v>
      </c>
    </row>
    <row r="4" spans="1:16" ht="16.5" customHeight="1">
      <c r="A4" s="113"/>
      <c r="B4" s="113"/>
      <c r="C4" s="113"/>
      <c r="D4" s="113"/>
      <c r="E4" s="113"/>
      <c r="F4" s="113"/>
      <c r="G4" s="54" t="s">
        <v>10</v>
      </c>
      <c r="H4" s="54" t="s">
        <v>11</v>
      </c>
      <c r="I4" s="54" t="s">
        <v>10</v>
      </c>
      <c r="J4" s="54" t="s">
        <v>11</v>
      </c>
      <c r="K4" s="54" t="s">
        <v>10</v>
      </c>
      <c r="L4" s="54" t="s">
        <v>11</v>
      </c>
      <c r="M4" s="54" t="s">
        <v>0</v>
      </c>
      <c r="N4" s="54" t="s">
        <v>12</v>
      </c>
      <c r="O4" s="133"/>
    </row>
    <row r="5" spans="1:16" ht="16.5" customHeight="1">
      <c r="A5" s="92" t="s">
        <v>13</v>
      </c>
      <c r="B5" s="91" t="s">
        <v>14</v>
      </c>
      <c r="C5" s="46" t="str">
        <f>VLOOKUP(D5,[1]숨김!$B$3:$E$300,2,0)</f>
        <v>공통</v>
      </c>
      <c r="D5" s="46" t="s">
        <v>518</v>
      </c>
      <c r="E5" s="46">
        <f>VLOOKUP(D5,[1]숨김!$B$3:$E$300,3,0)</f>
        <v>4</v>
      </c>
      <c r="F5" s="46">
        <f>SUM(G5:L5)</f>
        <v>3</v>
      </c>
      <c r="G5" s="46">
        <v>3</v>
      </c>
      <c r="H5" s="46"/>
      <c r="I5" s="46"/>
      <c r="J5" s="46"/>
      <c r="K5" s="46"/>
      <c r="L5" s="46"/>
      <c r="M5" s="91">
        <f>SUM(G5:L10)</f>
        <v>22</v>
      </c>
      <c r="N5" s="91">
        <f>SUM(M5,M11,M17)</f>
        <v>66</v>
      </c>
      <c r="O5" s="46" t="str">
        <f>VLOOKUP(D5,[1]숨김!$B$3:$E$300,4,0)</f>
        <v>성취도 5단계+석차등급O</v>
      </c>
    </row>
    <row r="6" spans="1:16" ht="16.5" customHeight="1">
      <c r="A6" s="113"/>
      <c r="B6" s="91"/>
      <c r="C6" s="46" t="str">
        <f>VLOOKUP(D6,[1]숨김!$B$3:$E$300,2,0)</f>
        <v>공통</v>
      </c>
      <c r="D6" s="46" t="s">
        <v>519</v>
      </c>
      <c r="E6" s="46">
        <f>VLOOKUP(D6,[1]숨김!$B$3:$E$300,3,0)</f>
        <v>4</v>
      </c>
      <c r="F6" s="46">
        <f t="shared" ref="F6:F40" si="0">SUM(G6:L6)</f>
        <v>3</v>
      </c>
      <c r="G6" s="46"/>
      <c r="H6" s="46">
        <v>3</v>
      </c>
      <c r="I6" s="46"/>
      <c r="J6" s="46"/>
      <c r="K6" s="46"/>
      <c r="L6" s="46"/>
      <c r="M6" s="91"/>
      <c r="N6" s="91"/>
      <c r="O6" s="46" t="str">
        <f>VLOOKUP(D6,[1]숨김!$B$3:$E$300,4,0)</f>
        <v>성취도 5단계+석차등급O</v>
      </c>
    </row>
    <row r="7" spans="1:16" ht="16.5" customHeight="1">
      <c r="A7" s="113"/>
      <c r="B7" s="91"/>
      <c r="C7" s="46" t="str">
        <f>VLOOKUP(D7,[1]숨김!$B$3:$E$300,2,0)</f>
        <v>일반</v>
      </c>
      <c r="D7" s="46" t="s">
        <v>520</v>
      </c>
      <c r="E7" s="46">
        <f>VLOOKUP(D7,[1]숨김!$B$3:$E$300,3,0)</f>
        <v>4</v>
      </c>
      <c r="F7" s="46">
        <f t="shared" si="0"/>
        <v>4</v>
      </c>
      <c r="G7" s="46"/>
      <c r="H7" s="46"/>
      <c r="I7" s="46">
        <v>4</v>
      </c>
      <c r="J7" s="46"/>
      <c r="K7" s="46"/>
      <c r="L7" s="46"/>
      <c r="M7" s="91"/>
      <c r="N7" s="91"/>
      <c r="O7" s="46" t="str">
        <f>VLOOKUP(D7,[1]숨김!$B$3:$E$300,4,0)</f>
        <v>성취도 5단계+석차등급O</v>
      </c>
    </row>
    <row r="8" spans="1:16" ht="16.5" customHeight="1">
      <c r="A8" s="113"/>
      <c r="B8" s="91"/>
      <c r="C8" s="46" t="str">
        <f>VLOOKUP(D8,[1]숨김!$B$3:$E$300,2,0)</f>
        <v>일반</v>
      </c>
      <c r="D8" s="46" t="s">
        <v>521</v>
      </c>
      <c r="E8" s="46">
        <f>VLOOKUP(D8,[1]숨김!$B$3:$E$300,3,0)</f>
        <v>4</v>
      </c>
      <c r="F8" s="46">
        <f t="shared" si="0"/>
        <v>4</v>
      </c>
      <c r="G8" s="46"/>
      <c r="H8" s="46"/>
      <c r="I8" s="46"/>
      <c r="J8" s="46">
        <v>4</v>
      </c>
      <c r="K8" s="46"/>
      <c r="L8" s="46"/>
      <c r="M8" s="91"/>
      <c r="N8" s="91"/>
      <c r="O8" s="46" t="str">
        <f>VLOOKUP(D8,[1]숨김!$B$3:$E$300,4,0)</f>
        <v>성취도 5단계+석차등급O</v>
      </c>
    </row>
    <row r="9" spans="1:16" ht="16.5" customHeight="1">
      <c r="A9" s="113"/>
      <c r="B9" s="91"/>
      <c r="C9" s="46" t="str">
        <f>VLOOKUP(D9,[1]숨김!$B$3:$E$300,2,0)</f>
        <v>일반</v>
      </c>
      <c r="D9" s="46" t="s">
        <v>522</v>
      </c>
      <c r="E9" s="46">
        <f>VLOOKUP(D9,[1]숨김!$B$3:$E$300,3,0)</f>
        <v>4</v>
      </c>
      <c r="F9" s="46">
        <f t="shared" si="0"/>
        <v>4</v>
      </c>
      <c r="G9" s="46"/>
      <c r="H9" s="46"/>
      <c r="I9" s="46"/>
      <c r="J9" s="46"/>
      <c r="K9" s="46">
        <v>4</v>
      </c>
      <c r="L9" s="46"/>
      <c r="M9" s="91"/>
      <c r="N9" s="91"/>
      <c r="O9" s="46" t="str">
        <f>VLOOKUP(D9,[1]숨김!$B$3:$E$300,4,0)</f>
        <v>성취도 5단계+석차등급O</v>
      </c>
    </row>
    <row r="10" spans="1:16" ht="16.5" customHeight="1">
      <c r="A10" s="113"/>
      <c r="B10" s="91"/>
      <c r="C10" s="46" t="str">
        <f>VLOOKUP(D10,[1]숨김!$B$3:$E$300,2,0)</f>
        <v>진로</v>
      </c>
      <c r="D10" s="46" t="s">
        <v>523</v>
      </c>
      <c r="E10" s="46">
        <f>VLOOKUP(D10,[1]숨김!$B$3:$E$300,3,0)</f>
        <v>4</v>
      </c>
      <c r="F10" s="46">
        <f t="shared" si="0"/>
        <v>4</v>
      </c>
      <c r="G10" s="46"/>
      <c r="H10" s="46"/>
      <c r="I10" s="46"/>
      <c r="J10" s="46"/>
      <c r="K10" s="46"/>
      <c r="L10" s="46">
        <v>4</v>
      </c>
      <c r="M10" s="91"/>
      <c r="N10" s="91"/>
      <c r="O10" s="46" t="str">
        <f>VLOOKUP(D10,[1]숨김!$B$3:$E$300,4,0)</f>
        <v>성취도 5단계+석차등급O</v>
      </c>
    </row>
    <row r="11" spans="1:16" ht="16.5" customHeight="1">
      <c r="A11" s="113"/>
      <c r="B11" s="91" t="s">
        <v>20</v>
      </c>
      <c r="C11" s="46" t="str">
        <f>VLOOKUP(D11,[1]숨김!$B$3:$E$300,2,0)</f>
        <v>공통</v>
      </c>
      <c r="D11" s="46" t="s">
        <v>21</v>
      </c>
      <c r="E11" s="46">
        <f>VLOOKUP(D11,[1]숨김!$B$3:$E$300,3,0)</f>
        <v>4</v>
      </c>
      <c r="F11" s="46">
        <f t="shared" si="0"/>
        <v>3</v>
      </c>
      <c r="G11" s="46">
        <v>3</v>
      </c>
      <c r="H11" s="46"/>
      <c r="I11" s="46"/>
      <c r="J11" s="46"/>
      <c r="K11" s="46"/>
      <c r="L11" s="46"/>
      <c r="M11" s="91">
        <f>SUM(G11:L16)</f>
        <v>22</v>
      </c>
      <c r="N11" s="91"/>
      <c r="O11" s="46" t="str">
        <f>VLOOKUP(D11,[1]숨김!$B$3:$E$300,4,0)</f>
        <v>성취도 5단계+석차등급O</v>
      </c>
    </row>
    <row r="12" spans="1:16" ht="16.5" customHeight="1">
      <c r="A12" s="113"/>
      <c r="B12" s="91"/>
      <c r="C12" s="46" t="str">
        <f>VLOOKUP(D12,[1]숨김!$B$3:$E$300,2,0)</f>
        <v>공통</v>
      </c>
      <c r="D12" s="46" t="s">
        <v>22</v>
      </c>
      <c r="E12" s="46">
        <f>VLOOKUP(D12,[1]숨김!$B$3:$E$300,3,0)</f>
        <v>4</v>
      </c>
      <c r="F12" s="46">
        <f t="shared" si="0"/>
        <v>3</v>
      </c>
      <c r="G12" s="46"/>
      <c r="H12" s="46">
        <v>3</v>
      </c>
      <c r="I12" s="46"/>
      <c r="J12" s="46"/>
      <c r="K12" s="46"/>
      <c r="L12" s="46"/>
      <c r="M12" s="91"/>
      <c r="N12" s="91"/>
      <c r="O12" s="46" t="str">
        <f>VLOOKUP(D12,[1]숨김!$B$3:$E$300,4,0)</f>
        <v>성취도 5단계+석차등급O</v>
      </c>
    </row>
    <row r="13" spans="1:16" ht="16.5" customHeight="1">
      <c r="A13" s="113"/>
      <c r="B13" s="91"/>
      <c r="C13" s="46" t="str">
        <f>VLOOKUP(D13,[1]숨김!$B$3:$E$300,2,0)</f>
        <v>일반</v>
      </c>
      <c r="D13" s="46" t="s">
        <v>524</v>
      </c>
      <c r="E13" s="46">
        <f>VLOOKUP(D13,[1]숨김!$B$3:$E$300,3,0)</f>
        <v>4</v>
      </c>
      <c r="F13" s="46">
        <f t="shared" si="0"/>
        <v>4</v>
      </c>
      <c r="G13" s="46"/>
      <c r="H13" s="46"/>
      <c r="I13" s="46">
        <v>4</v>
      </c>
      <c r="J13" s="46"/>
      <c r="K13" s="46"/>
      <c r="L13" s="46"/>
      <c r="M13" s="91"/>
      <c r="N13" s="91"/>
      <c r="O13" s="46" t="str">
        <f>VLOOKUP(D13,[1]숨김!$B$3:$E$300,4,0)</f>
        <v>성취도 5단계+석차등급O</v>
      </c>
    </row>
    <row r="14" spans="1:16" ht="16.5" customHeight="1">
      <c r="A14" s="113"/>
      <c r="B14" s="91"/>
      <c r="C14" s="46" t="str">
        <f>VLOOKUP(D14,[1]숨김!$B$3:$E$300,2,0)</f>
        <v>일반</v>
      </c>
      <c r="D14" s="46" t="s">
        <v>525</v>
      </c>
      <c r="E14" s="46">
        <f>VLOOKUP(D14,[1]숨김!$B$3:$E$300,3,0)</f>
        <v>4</v>
      </c>
      <c r="F14" s="46">
        <f t="shared" si="0"/>
        <v>4</v>
      </c>
      <c r="G14" s="46"/>
      <c r="H14" s="46"/>
      <c r="I14" s="46"/>
      <c r="J14" s="46">
        <v>4</v>
      </c>
      <c r="K14" s="46"/>
      <c r="L14" s="46"/>
      <c r="M14" s="91"/>
      <c r="N14" s="91"/>
      <c r="O14" s="46" t="str">
        <f>VLOOKUP(D14,[1]숨김!$B$3:$E$300,4,0)</f>
        <v>성취도 5단계+석차등급O</v>
      </c>
    </row>
    <row r="15" spans="1:16" ht="16.5" customHeight="1">
      <c r="A15" s="113"/>
      <c r="B15" s="91"/>
      <c r="C15" s="46" t="str">
        <f>VLOOKUP(D15,[1]숨김!$B$3:$E$300,2,0)</f>
        <v>일반</v>
      </c>
      <c r="D15" s="46" t="s">
        <v>526</v>
      </c>
      <c r="E15" s="46">
        <f>VLOOKUP(D15,[1]숨김!$B$3:$E$300,3,0)</f>
        <v>4</v>
      </c>
      <c r="F15" s="46">
        <f t="shared" si="0"/>
        <v>4</v>
      </c>
      <c r="G15" s="46"/>
      <c r="H15" s="46"/>
      <c r="I15" s="46"/>
      <c r="J15" s="46"/>
      <c r="K15" s="46">
        <v>4</v>
      </c>
      <c r="L15" s="46"/>
      <c r="M15" s="91"/>
      <c r="N15" s="91"/>
      <c r="O15" s="46" t="str">
        <f>VLOOKUP(D15,[1]숨김!$B$3:$E$300,4,0)</f>
        <v>성취도 5단계+석차등급O</v>
      </c>
    </row>
    <row r="16" spans="1:16" ht="16.5" customHeight="1">
      <c r="A16" s="113"/>
      <c r="B16" s="91"/>
      <c r="C16" s="46" t="str">
        <f>VLOOKUP(D16,[1]숨김!$B$3:$E$300,2,0)</f>
        <v>융합</v>
      </c>
      <c r="D16" s="46" t="s">
        <v>527</v>
      </c>
      <c r="E16" s="46">
        <f>VLOOKUP(D16,[1]숨김!$B$3:$E$300,3,0)</f>
        <v>4</v>
      </c>
      <c r="F16" s="46">
        <f t="shared" si="0"/>
        <v>4</v>
      </c>
      <c r="G16" s="46"/>
      <c r="H16" s="46"/>
      <c r="I16" s="46"/>
      <c r="J16" s="46"/>
      <c r="K16" s="46"/>
      <c r="L16" s="46">
        <v>4</v>
      </c>
      <c r="M16" s="91"/>
      <c r="N16" s="91"/>
      <c r="O16" s="46" t="str">
        <f>VLOOKUP(D16,[1]숨김!$B$3:$E$300,4,0)</f>
        <v>성취도 5단계+석차등급O</v>
      </c>
    </row>
    <row r="17" spans="1:15" ht="16.5" customHeight="1">
      <c r="A17" s="113"/>
      <c r="B17" s="91" t="s">
        <v>23</v>
      </c>
      <c r="C17" s="46" t="str">
        <f>VLOOKUP(D17,[1]숨김!$B$3:$E$300,2,0)</f>
        <v>공통</v>
      </c>
      <c r="D17" s="46" t="s">
        <v>24</v>
      </c>
      <c r="E17" s="46">
        <f>VLOOKUP(D17,[1]숨김!$B$3:$E$300,3,0)</f>
        <v>4</v>
      </c>
      <c r="F17" s="46">
        <f t="shared" si="0"/>
        <v>3</v>
      </c>
      <c r="G17" s="46">
        <v>3</v>
      </c>
      <c r="H17" s="46"/>
      <c r="I17" s="46"/>
      <c r="J17" s="46"/>
      <c r="K17" s="46"/>
      <c r="L17" s="46"/>
      <c r="M17" s="91">
        <f>SUM(G17:L22)</f>
        <v>22</v>
      </c>
      <c r="N17" s="91"/>
      <c r="O17" s="46" t="str">
        <f>VLOOKUP(D17,[1]숨김!$B$3:$E$300,4,0)</f>
        <v>성취도 5단계+석차등급O</v>
      </c>
    </row>
    <row r="18" spans="1:15" ht="16.5" customHeight="1">
      <c r="A18" s="113"/>
      <c r="B18" s="91"/>
      <c r="C18" s="46" t="str">
        <f>VLOOKUP(D18,[1]숨김!$B$3:$E$300,2,0)</f>
        <v>공통</v>
      </c>
      <c r="D18" s="46" t="s">
        <v>25</v>
      </c>
      <c r="E18" s="46">
        <f>VLOOKUP(D18,[1]숨김!$B$3:$E$300,3,0)</f>
        <v>4</v>
      </c>
      <c r="F18" s="46">
        <f t="shared" si="0"/>
        <v>3</v>
      </c>
      <c r="G18" s="46"/>
      <c r="H18" s="46">
        <v>3</v>
      </c>
      <c r="I18" s="46"/>
      <c r="J18" s="46"/>
      <c r="K18" s="46"/>
      <c r="L18" s="46"/>
      <c r="M18" s="91"/>
      <c r="N18" s="91"/>
      <c r="O18" s="46" t="str">
        <f>VLOOKUP(D18,[1]숨김!$B$3:$E$300,4,0)</f>
        <v>성취도 5단계+석차등급O</v>
      </c>
    </row>
    <row r="19" spans="1:15" ht="16.5" customHeight="1">
      <c r="A19" s="113"/>
      <c r="B19" s="91"/>
      <c r="C19" s="46" t="str">
        <f>VLOOKUP(D19,[1]숨김!$B$3:$E$300,2,0)</f>
        <v>일반</v>
      </c>
      <c r="D19" s="46" t="s">
        <v>528</v>
      </c>
      <c r="E19" s="46">
        <f>VLOOKUP(D19,[1]숨김!$B$3:$E$300,3,0)</f>
        <v>4</v>
      </c>
      <c r="F19" s="46">
        <f t="shared" si="0"/>
        <v>4</v>
      </c>
      <c r="G19" s="46"/>
      <c r="H19" s="46"/>
      <c r="I19" s="46">
        <v>4</v>
      </c>
      <c r="J19" s="46"/>
      <c r="K19" s="46"/>
      <c r="L19" s="46"/>
      <c r="M19" s="91"/>
      <c r="N19" s="91"/>
      <c r="O19" s="46" t="str">
        <f>VLOOKUP(D19,[1]숨김!$B$3:$E$300,4,0)</f>
        <v>성취도 5단계+석차등급O</v>
      </c>
    </row>
    <row r="20" spans="1:15" ht="16.5" customHeight="1">
      <c r="A20" s="113"/>
      <c r="B20" s="91"/>
      <c r="C20" s="46" t="str">
        <f>VLOOKUP(D20,[1]숨김!$B$3:$E$300,2,0)</f>
        <v>일반</v>
      </c>
      <c r="D20" s="46" t="s">
        <v>529</v>
      </c>
      <c r="E20" s="46">
        <f>VLOOKUP(D20,[1]숨김!$B$3:$E$300,3,0)</f>
        <v>4</v>
      </c>
      <c r="F20" s="46">
        <f t="shared" si="0"/>
        <v>4</v>
      </c>
      <c r="G20" s="46"/>
      <c r="H20" s="46"/>
      <c r="I20" s="46"/>
      <c r="J20" s="46">
        <v>4</v>
      </c>
      <c r="K20" s="46"/>
      <c r="L20" s="46"/>
      <c r="M20" s="91"/>
      <c r="N20" s="91"/>
      <c r="O20" s="46" t="str">
        <f>VLOOKUP(D20,[1]숨김!$B$3:$E$300,4,0)</f>
        <v>성취도 5단계+석차등급O</v>
      </c>
    </row>
    <row r="21" spans="1:15" ht="16.5" customHeight="1">
      <c r="A21" s="113"/>
      <c r="B21" s="91"/>
      <c r="C21" s="46" t="str">
        <f>VLOOKUP(D21,[1]숨김!$B$3:$E$300,2,0)</f>
        <v>일반</v>
      </c>
      <c r="D21" s="46" t="s">
        <v>530</v>
      </c>
      <c r="E21" s="46">
        <f>VLOOKUP(D21,[1]숨김!$B$3:$E$300,3,0)</f>
        <v>4</v>
      </c>
      <c r="F21" s="46">
        <f t="shared" si="0"/>
        <v>4</v>
      </c>
      <c r="G21" s="46"/>
      <c r="H21" s="46"/>
      <c r="I21" s="46"/>
      <c r="J21" s="46"/>
      <c r="K21" s="46">
        <v>4</v>
      </c>
      <c r="L21" s="46"/>
      <c r="M21" s="91"/>
      <c r="N21" s="91"/>
      <c r="O21" s="46" t="str">
        <f>VLOOKUP(D21,[1]숨김!$B$3:$E$300,4,0)</f>
        <v>성취도 5단계+석차등급O</v>
      </c>
    </row>
    <row r="22" spans="1:15" ht="16.5" customHeight="1">
      <c r="A22" s="113"/>
      <c r="B22" s="91"/>
      <c r="C22" s="46" t="str">
        <f>VLOOKUP(D22,[1]숨김!$B$3:$E$300,2,0)</f>
        <v>진로</v>
      </c>
      <c r="D22" s="46" t="s">
        <v>531</v>
      </c>
      <c r="E22" s="46">
        <f>VLOOKUP(D22,[1]숨김!$B$3:$E$300,3,0)</f>
        <v>4</v>
      </c>
      <c r="F22" s="46">
        <f t="shared" si="0"/>
        <v>4</v>
      </c>
      <c r="G22" s="46"/>
      <c r="H22" s="46"/>
      <c r="I22" s="46"/>
      <c r="J22" s="46"/>
      <c r="K22" s="46"/>
      <c r="L22" s="46">
        <v>4</v>
      </c>
      <c r="M22" s="91"/>
      <c r="N22" s="91"/>
      <c r="O22" s="46" t="str">
        <f>VLOOKUP(D22,[1]숨김!$B$3:$E$300,4,0)</f>
        <v>성취도 5단계+석차등급O</v>
      </c>
    </row>
    <row r="23" spans="1:15" ht="16.5" customHeight="1">
      <c r="A23" s="113"/>
      <c r="B23" s="91" t="s">
        <v>506</v>
      </c>
      <c r="C23" s="46" t="str">
        <f>VLOOKUP(D23,[1]숨김!$B$3:$E$300,2,0)</f>
        <v>공통</v>
      </c>
      <c r="D23" s="46" t="s">
        <v>26</v>
      </c>
      <c r="E23" s="46">
        <f>VLOOKUP(D23,[1]숨김!$B$3:$E$300,3,0)</f>
        <v>3</v>
      </c>
      <c r="F23" s="46">
        <f t="shared" si="0"/>
        <v>3</v>
      </c>
      <c r="G23" s="46">
        <v>3</v>
      </c>
      <c r="H23" s="46"/>
      <c r="I23" s="46"/>
      <c r="J23" s="46"/>
      <c r="K23" s="46"/>
      <c r="L23" s="46"/>
      <c r="M23" s="91">
        <f>SUM(G23:L24)</f>
        <v>6</v>
      </c>
      <c r="N23" s="133"/>
      <c r="O23" s="46" t="str">
        <f>VLOOKUP(D23,[1]숨김!$B$3:$E$300,4,0)</f>
        <v>성취도 5단계+석차등급O</v>
      </c>
    </row>
    <row r="24" spans="1:15" ht="16.5" customHeight="1">
      <c r="A24" s="113"/>
      <c r="B24" s="91"/>
      <c r="C24" s="46" t="str">
        <f>VLOOKUP(D24,[1]숨김!$B$3:$E$300,2,0)</f>
        <v>공통</v>
      </c>
      <c r="D24" s="46" t="s">
        <v>27</v>
      </c>
      <c r="E24" s="46">
        <f>VLOOKUP(D24,[1]숨김!$B$3:$E$300,3,0)</f>
        <v>3</v>
      </c>
      <c r="F24" s="46">
        <f t="shared" si="0"/>
        <v>3</v>
      </c>
      <c r="G24" s="46"/>
      <c r="H24" s="46">
        <v>3</v>
      </c>
      <c r="I24" s="46"/>
      <c r="J24" s="46"/>
      <c r="K24" s="46"/>
      <c r="L24" s="46"/>
      <c r="M24" s="133"/>
      <c r="N24" s="133"/>
      <c r="O24" s="46" t="str">
        <f>VLOOKUP(D24,[1]숨김!$B$3:$E$300,4,0)</f>
        <v>성취도 5단계+석차등급O</v>
      </c>
    </row>
    <row r="25" spans="1:15" ht="16.5" customHeight="1">
      <c r="A25" s="113"/>
      <c r="B25" s="91"/>
      <c r="C25" s="46" t="str">
        <f>VLOOKUP(D25,[1]숨김!$B$3:$E$300,2,0)</f>
        <v>공통</v>
      </c>
      <c r="D25" s="46" t="s">
        <v>28</v>
      </c>
      <c r="E25" s="46">
        <f>VLOOKUP(D25,[1]숨김!$B$3:$E$300,3,0)</f>
        <v>4</v>
      </c>
      <c r="F25" s="46">
        <f t="shared" si="0"/>
        <v>4</v>
      </c>
      <c r="G25" s="46">
        <v>4</v>
      </c>
      <c r="H25" s="46"/>
      <c r="I25" s="46"/>
      <c r="J25" s="46"/>
      <c r="K25" s="46"/>
      <c r="L25" s="46"/>
      <c r="M25" s="91">
        <f>SUM(G25:L26)</f>
        <v>8</v>
      </c>
      <c r="N25" s="133"/>
      <c r="O25" s="46" t="str">
        <f>VLOOKUP(D25,[1]숨김!$B$3:$E$300,4,0)</f>
        <v>성취도 5단계+석차등급O</v>
      </c>
    </row>
    <row r="26" spans="1:15" ht="16.5" customHeight="1">
      <c r="A26" s="113"/>
      <c r="B26" s="91"/>
      <c r="C26" s="46" t="str">
        <f>VLOOKUP(D26,[1]숨김!$B$3:$E$300,2,0)</f>
        <v>공통</v>
      </c>
      <c r="D26" s="46" t="s">
        <v>29</v>
      </c>
      <c r="E26" s="46">
        <f>VLOOKUP(D26,[1]숨김!$B$3:$E$300,3,0)</f>
        <v>4</v>
      </c>
      <c r="F26" s="46">
        <f t="shared" si="0"/>
        <v>4</v>
      </c>
      <c r="G26" s="46"/>
      <c r="H26" s="46">
        <v>4</v>
      </c>
      <c r="I26" s="46"/>
      <c r="J26" s="46"/>
      <c r="K26" s="46"/>
      <c r="L26" s="46"/>
      <c r="M26" s="133"/>
      <c r="N26" s="133"/>
      <c r="O26" s="46" t="str">
        <f>VLOOKUP(D26,[1]숨김!$B$3:$E$300,4,0)</f>
        <v>성취도 5단계+석차등급O</v>
      </c>
    </row>
    <row r="27" spans="1:15" ht="16.5" customHeight="1">
      <c r="A27" s="113"/>
      <c r="B27" s="91" t="s">
        <v>505</v>
      </c>
      <c r="C27" s="46" t="str">
        <f>VLOOKUP(D27,[1]숨김!$B$3:$E$300,2,0)</f>
        <v>공통</v>
      </c>
      <c r="D27" s="46" t="s">
        <v>30</v>
      </c>
      <c r="E27" s="46">
        <f>VLOOKUP(D27,[1]숨김!$B$3:$E$300,3,0)</f>
        <v>4</v>
      </c>
      <c r="F27" s="46">
        <f t="shared" si="0"/>
        <v>4</v>
      </c>
      <c r="G27" s="46">
        <v>4</v>
      </c>
      <c r="H27" s="46"/>
      <c r="I27" s="46"/>
      <c r="J27" s="46"/>
      <c r="K27" s="46"/>
      <c r="L27" s="46"/>
      <c r="M27" s="91">
        <f>SUM(G27:L30)</f>
        <v>10</v>
      </c>
      <c r="N27" s="141"/>
      <c r="O27" s="46" t="str">
        <f>VLOOKUP(D27,[1]숨김!$B$3:$E$300,4,0)</f>
        <v>성취도 5단계+석차등급O</v>
      </c>
    </row>
    <row r="28" spans="1:15" ht="16.5" customHeight="1">
      <c r="A28" s="113"/>
      <c r="B28" s="133"/>
      <c r="C28" s="46" t="str">
        <f>VLOOKUP(D28,[1]숨김!$B$3:$E$300,2,0)</f>
        <v>공통</v>
      </c>
      <c r="D28" s="46" t="s">
        <v>31</v>
      </c>
      <c r="E28" s="46">
        <f>VLOOKUP(D28,[1]숨김!$B$3:$E$300,3,0)</f>
        <v>4</v>
      </c>
      <c r="F28" s="46">
        <f t="shared" si="0"/>
        <v>4</v>
      </c>
      <c r="G28" s="46"/>
      <c r="H28" s="46">
        <v>4</v>
      </c>
      <c r="I28" s="46"/>
      <c r="J28" s="46"/>
      <c r="K28" s="46"/>
      <c r="L28" s="46"/>
      <c r="M28" s="141"/>
      <c r="N28" s="141"/>
      <c r="O28" s="46" t="str">
        <f>VLOOKUP(D28,[1]숨김!$B$3:$E$300,4,0)</f>
        <v>성취도 5단계+석차등급O</v>
      </c>
    </row>
    <row r="29" spans="1:15" ht="16.5" customHeight="1">
      <c r="A29" s="113"/>
      <c r="B29" s="133"/>
      <c r="C29" s="46" t="str">
        <f>VLOOKUP(D29,[1]숨김!$B$3:$E$300,2,0)</f>
        <v>공통</v>
      </c>
      <c r="D29" s="46" t="s">
        <v>32</v>
      </c>
      <c r="E29" s="46">
        <f>VLOOKUP(D29,[1]숨김!$B$3:$E$300,3,0)</f>
        <v>1</v>
      </c>
      <c r="F29" s="46">
        <f t="shared" si="0"/>
        <v>1</v>
      </c>
      <c r="G29" s="46">
        <v>1</v>
      </c>
      <c r="H29" s="46"/>
      <c r="I29" s="46"/>
      <c r="J29" s="46"/>
      <c r="K29" s="46"/>
      <c r="L29" s="46"/>
      <c r="M29" s="141"/>
      <c r="N29" s="141"/>
      <c r="O29" s="46" t="str">
        <f>VLOOKUP(D29,[1]숨김!$B$3:$E$300,4,0)</f>
        <v>성취도 3단계</v>
      </c>
    </row>
    <row r="30" spans="1:15" ht="16.5" customHeight="1">
      <c r="A30" s="113"/>
      <c r="B30" s="133"/>
      <c r="C30" s="46" t="str">
        <f>VLOOKUP(D30,[1]숨김!$B$3:$E$300,2,0)</f>
        <v>공통</v>
      </c>
      <c r="D30" s="46" t="s">
        <v>34</v>
      </c>
      <c r="E30" s="46">
        <f>VLOOKUP(D30,[1]숨김!$B$3:$E$300,3,0)</f>
        <v>1</v>
      </c>
      <c r="F30" s="46">
        <f t="shared" si="0"/>
        <v>1</v>
      </c>
      <c r="G30" s="46"/>
      <c r="H30" s="46">
        <v>1</v>
      </c>
      <c r="I30" s="46"/>
      <c r="J30" s="46"/>
      <c r="K30" s="46"/>
      <c r="L30" s="46"/>
      <c r="M30" s="141"/>
      <c r="N30" s="141"/>
      <c r="O30" s="46" t="str">
        <f>VLOOKUP(D30,[1]숨김!$B$3:$E$300,4,0)</f>
        <v>성취도 3단계</v>
      </c>
    </row>
    <row r="31" spans="1:15" ht="16.5" customHeight="1">
      <c r="A31" s="113"/>
      <c r="B31" s="91" t="s">
        <v>532</v>
      </c>
      <c r="C31" s="46" t="str">
        <f>VLOOKUP(D31,[1]숨김!$B$3:$E$300,2,0)</f>
        <v>일반</v>
      </c>
      <c r="D31" s="46" t="s">
        <v>533</v>
      </c>
      <c r="E31" s="46">
        <f>VLOOKUP(D31,[1]숨김!$B$3:$E$300,3,0)</f>
        <v>3</v>
      </c>
      <c r="F31" s="46">
        <f t="shared" si="0"/>
        <v>2</v>
      </c>
      <c r="G31" s="46">
        <v>2</v>
      </c>
      <c r="H31" s="46"/>
      <c r="I31" s="46"/>
      <c r="J31" s="46"/>
      <c r="K31" s="46"/>
      <c r="L31" s="46"/>
      <c r="M31" s="91">
        <f>SUM(G31:L36)</f>
        <v>10</v>
      </c>
      <c r="N31" s="133"/>
      <c r="O31" s="46" t="str">
        <f>VLOOKUP(D31,[1]숨김!$B$3:$E$300,4,0)</f>
        <v>성취도 3단계</v>
      </c>
    </row>
    <row r="32" spans="1:15" ht="16.5" customHeight="1">
      <c r="A32" s="113"/>
      <c r="B32" s="133"/>
      <c r="C32" s="46" t="str">
        <f>VLOOKUP(D32,[1]숨김!$B$3:$E$300,2,0)</f>
        <v>일반</v>
      </c>
      <c r="D32" s="46" t="s">
        <v>534</v>
      </c>
      <c r="E32" s="46">
        <f>VLOOKUP(D32,[1]숨김!$B$3:$E$300,3,0)</f>
        <v>3</v>
      </c>
      <c r="F32" s="46">
        <f t="shared" si="0"/>
        <v>2</v>
      </c>
      <c r="G32" s="46"/>
      <c r="H32" s="46">
        <v>2</v>
      </c>
      <c r="I32" s="46"/>
      <c r="J32" s="46"/>
      <c r="K32" s="46"/>
      <c r="L32" s="46"/>
      <c r="M32" s="133"/>
      <c r="N32" s="133"/>
      <c r="O32" s="46" t="str">
        <f>VLOOKUP(D32,[1]숨김!$B$3:$E$300,4,0)</f>
        <v>성취도 3단계</v>
      </c>
    </row>
    <row r="33" spans="1:15" ht="16.5" customHeight="1">
      <c r="A33" s="113"/>
      <c r="B33" s="133"/>
      <c r="C33" s="46" t="str">
        <f>VLOOKUP(D33,[1]숨김!$B$3:$E$300,2,0)</f>
        <v>융합</v>
      </c>
      <c r="D33" s="46" t="s">
        <v>499</v>
      </c>
      <c r="E33" s="46">
        <f>VLOOKUP(D33,[1]숨김!$B$3:$E$300,3,0)</f>
        <v>3</v>
      </c>
      <c r="F33" s="46">
        <f t="shared" si="0"/>
        <v>2</v>
      </c>
      <c r="G33" s="46"/>
      <c r="H33" s="46"/>
      <c r="I33" s="46">
        <v>2</v>
      </c>
      <c r="J33" s="46"/>
      <c r="K33" s="46"/>
      <c r="L33" s="46"/>
      <c r="M33" s="133"/>
      <c r="N33" s="133"/>
      <c r="O33" s="46" t="str">
        <f>VLOOKUP(D33,[1]숨김!$B$3:$E$300,4,0)</f>
        <v>성취도 3단계</v>
      </c>
    </row>
    <row r="34" spans="1:15" ht="16.5" customHeight="1">
      <c r="A34" s="113"/>
      <c r="B34" s="133"/>
      <c r="C34" s="46" t="str">
        <f>VLOOKUP(D34,[1]숨김!$B$3:$E$300,2,0)</f>
        <v>융합</v>
      </c>
      <c r="D34" s="46" t="s">
        <v>535</v>
      </c>
      <c r="E34" s="46">
        <f>VLOOKUP(D34,[1]숨김!$B$3:$E$300,3,0)</f>
        <v>3</v>
      </c>
      <c r="F34" s="46">
        <f t="shared" si="0"/>
        <v>2</v>
      </c>
      <c r="G34" s="46"/>
      <c r="H34" s="46"/>
      <c r="I34" s="46"/>
      <c r="J34" s="46">
        <v>2</v>
      </c>
      <c r="K34" s="46"/>
      <c r="L34" s="46"/>
      <c r="M34" s="133"/>
      <c r="N34" s="133"/>
      <c r="O34" s="46" t="str">
        <f>VLOOKUP(D34,[1]숨김!$B$3:$E$300,4,0)</f>
        <v>성취도 3단계</v>
      </c>
    </row>
    <row r="35" spans="1:15" ht="16.5" customHeight="1">
      <c r="A35" s="113"/>
      <c r="B35" s="133"/>
      <c r="C35" s="46" t="str">
        <f>VLOOKUP(D35,[1]숨김!$B$3:$E$300,2,0)</f>
        <v>진로</v>
      </c>
      <c r="D35" s="46" t="s">
        <v>536</v>
      </c>
      <c r="E35" s="46">
        <f>VLOOKUP(D35,[1]숨김!$B$3:$E$300,3,0)</f>
        <v>2</v>
      </c>
      <c r="F35" s="46">
        <f t="shared" si="0"/>
        <v>1</v>
      </c>
      <c r="G35" s="46"/>
      <c r="H35" s="46"/>
      <c r="I35" s="46"/>
      <c r="J35" s="46"/>
      <c r="K35" s="46">
        <v>1</v>
      </c>
      <c r="L35" s="46"/>
      <c r="M35" s="133"/>
      <c r="N35" s="133"/>
      <c r="O35" s="46" t="str">
        <f>VLOOKUP(D35,[1]숨김!$B$3:$E$300,4,0)</f>
        <v>성취도 3단계</v>
      </c>
    </row>
    <row r="36" spans="1:15" ht="16.5" customHeight="1">
      <c r="A36" s="113"/>
      <c r="B36" s="133"/>
      <c r="C36" s="46" t="str">
        <f>VLOOKUP(D36,[1]숨김!$B$3:$E$300,2,0)</f>
        <v>진로</v>
      </c>
      <c r="D36" s="46" t="s">
        <v>537</v>
      </c>
      <c r="E36" s="46">
        <f>VLOOKUP(D36,[1]숨김!$B$3:$E$300,3,0)</f>
        <v>2</v>
      </c>
      <c r="F36" s="46">
        <f t="shared" si="0"/>
        <v>1</v>
      </c>
      <c r="G36" s="46"/>
      <c r="H36" s="46"/>
      <c r="I36" s="46"/>
      <c r="J36" s="46"/>
      <c r="K36" s="46"/>
      <c r="L36" s="46">
        <v>1</v>
      </c>
      <c r="M36" s="133"/>
      <c r="N36" s="133"/>
      <c r="O36" s="46" t="str">
        <f>VLOOKUP(D36,[1]숨김!$B$3:$E$300,4,0)</f>
        <v>성취도 3단계</v>
      </c>
    </row>
    <row r="37" spans="1:15" ht="16.5" customHeight="1">
      <c r="A37" s="113"/>
      <c r="B37" s="91" t="s">
        <v>538</v>
      </c>
      <c r="C37" s="46" t="s">
        <v>19</v>
      </c>
      <c r="D37" s="91" t="s">
        <v>539</v>
      </c>
      <c r="E37" s="46">
        <v>3</v>
      </c>
      <c r="F37" s="46">
        <v>3</v>
      </c>
      <c r="G37" s="128">
        <v>3</v>
      </c>
      <c r="H37" s="128">
        <v>3</v>
      </c>
      <c r="I37" s="46"/>
      <c r="J37" s="46"/>
      <c r="K37" s="46"/>
      <c r="L37" s="46"/>
      <c r="M37" s="91">
        <f>SUM(G37:L38)</f>
        <v>6</v>
      </c>
      <c r="N37" s="91"/>
      <c r="O37" s="46" t="s">
        <v>33</v>
      </c>
    </row>
    <row r="38" spans="1:15" ht="16.5" customHeight="1">
      <c r="A38" s="113"/>
      <c r="B38" s="91"/>
      <c r="C38" s="46" t="s">
        <v>19</v>
      </c>
      <c r="D38" s="91"/>
      <c r="E38" s="46">
        <v>3</v>
      </c>
      <c r="F38" s="46">
        <v>3</v>
      </c>
      <c r="G38" s="129"/>
      <c r="H38" s="129"/>
      <c r="I38" s="46"/>
      <c r="J38" s="46"/>
      <c r="K38" s="46"/>
      <c r="L38" s="46"/>
      <c r="M38" s="91"/>
      <c r="N38" s="91"/>
      <c r="O38" s="46" t="s">
        <v>33</v>
      </c>
    </row>
    <row r="39" spans="1:15" ht="16.5">
      <c r="A39" s="113"/>
      <c r="B39" s="91" t="s">
        <v>40</v>
      </c>
      <c r="C39" s="46" t="str">
        <f>VLOOKUP(D39,[1]숨김!$B$3:$E$300,2,0)</f>
        <v>일반</v>
      </c>
      <c r="D39" s="46" t="s">
        <v>540</v>
      </c>
      <c r="E39" s="46">
        <f>VLOOKUP(D39,[1]숨김!$B$3:$E$300,3,0)</f>
        <v>4</v>
      </c>
      <c r="F39" s="46">
        <f t="shared" si="0"/>
        <v>3</v>
      </c>
      <c r="G39" s="46">
        <v>3</v>
      </c>
      <c r="H39" s="46"/>
      <c r="I39" s="46"/>
      <c r="J39" s="46"/>
      <c r="K39" s="46"/>
      <c r="L39" s="46"/>
      <c r="M39" s="91">
        <f>SUM(G39:L40)</f>
        <v>6</v>
      </c>
      <c r="N39" s="91"/>
      <c r="O39" s="46" t="str">
        <f>VLOOKUP(D39,[1]숨김!$B$3:$E$300,4,0)</f>
        <v>성취도 5단계+석차등급O</v>
      </c>
    </row>
    <row r="40" spans="1:15" ht="16.5">
      <c r="A40" s="113"/>
      <c r="B40" s="91"/>
      <c r="C40" s="46" t="str">
        <f>VLOOKUP(D40,[1]숨김!$B$3:$E$300,2,0)</f>
        <v>진로</v>
      </c>
      <c r="D40" s="46" t="s">
        <v>541</v>
      </c>
      <c r="E40" s="46">
        <f>VLOOKUP(D40,[1]숨김!$B$3:$E$300,3,0)</f>
        <v>4</v>
      </c>
      <c r="F40" s="46">
        <f t="shared" si="0"/>
        <v>3</v>
      </c>
      <c r="G40" s="46"/>
      <c r="H40" s="46">
        <v>3</v>
      </c>
      <c r="I40" s="46"/>
      <c r="J40" s="46"/>
      <c r="K40" s="46"/>
      <c r="L40" s="46"/>
      <c r="M40" s="91"/>
      <c r="N40" s="91"/>
      <c r="O40" s="46" t="str">
        <f>VLOOKUP(D40,[1]숨김!$B$3:$E$300,4,0)</f>
        <v>성취도 5단계+석차등급O</v>
      </c>
    </row>
    <row r="41" spans="1:15" ht="16.5" customHeight="1">
      <c r="A41" s="96" t="s">
        <v>606</v>
      </c>
      <c r="B41" s="113"/>
      <c r="C41" s="113"/>
      <c r="D41" s="113"/>
      <c r="E41" s="55"/>
      <c r="F41" s="55"/>
      <c r="G41" s="55">
        <f t="shared" ref="G41:L41" si="1">SUM(G5:G40)</f>
        <v>29</v>
      </c>
      <c r="H41" s="55">
        <f>SUM(H5:H40)</f>
        <v>29</v>
      </c>
      <c r="I41" s="55">
        <f t="shared" si="1"/>
        <v>14</v>
      </c>
      <c r="J41" s="55">
        <f t="shared" si="1"/>
        <v>14</v>
      </c>
      <c r="K41" s="55">
        <f t="shared" si="1"/>
        <v>13</v>
      </c>
      <c r="L41" s="55">
        <f t="shared" si="1"/>
        <v>13</v>
      </c>
      <c r="M41" s="96">
        <f>SUM(G41:L41)</f>
        <v>112</v>
      </c>
      <c r="N41" s="96"/>
      <c r="O41" s="56"/>
    </row>
    <row r="42" spans="1:15" ht="16.5" customHeight="1">
      <c r="A42" s="92" t="s">
        <v>41</v>
      </c>
      <c r="B42" s="47" t="s">
        <v>20</v>
      </c>
      <c r="C42" s="46" t="str">
        <f>VLOOKUP(D42,[1]숨김!$B$3:$E$300,2,0)</f>
        <v>진로</v>
      </c>
      <c r="D42" s="47" t="s">
        <v>542</v>
      </c>
      <c r="E42" s="47">
        <f>VLOOKUP(D42,[1]숨김!$B$3:$E$300,3,0)</f>
        <v>4</v>
      </c>
      <c r="F42" s="47">
        <v>3</v>
      </c>
      <c r="G42" s="47"/>
      <c r="H42" s="47"/>
      <c r="I42" s="34">
        <v>3</v>
      </c>
      <c r="J42" s="33"/>
      <c r="K42" s="47"/>
      <c r="L42" s="47"/>
      <c r="M42" s="112">
        <f>SUM(G42:L51)</f>
        <v>12</v>
      </c>
      <c r="N42" s="112"/>
      <c r="O42" s="46" t="str">
        <f>VLOOKUP(D42,[1]숨김!$B$3:$E$300,4,0)</f>
        <v>성취도 5단계+석차등급O</v>
      </c>
    </row>
    <row r="43" spans="1:15" ht="16.5" customHeight="1">
      <c r="A43" s="92"/>
      <c r="B43" s="112" t="s">
        <v>424</v>
      </c>
      <c r="C43" s="46" t="str">
        <f>VLOOKUP(D43,[1]숨김!$B$3:$E$300,2,0)</f>
        <v>일반</v>
      </c>
      <c r="D43" s="47" t="s">
        <v>543</v>
      </c>
      <c r="E43" s="47">
        <f>VLOOKUP(D43,[1]숨김!$B$3:$E$300,3,0)</f>
        <v>4</v>
      </c>
      <c r="F43" s="47">
        <v>3</v>
      </c>
      <c r="G43" s="47"/>
      <c r="H43" s="47"/>
      <c r="I43" s="62">
        <v>3</v>
      </c>
      <c r="J43" s="33"/>
      <c r="K43" s="47"/>
      <c r="L43" s="47"/>
      <c r="M43" s="112"/>
      <c r="N43" s="112"/>
      <c r="O43" s="46" t="str">
        <f>VLOOKUP(D43,[1]숨김!$B$3:$E$300,4,0)</f>
        <v>성취도 5단계+석차등급O</v>
      </c>
    </row>
    <row r="44" spans="1:15" ht="16.5" customHeight="1">
      <c r="A44" s="92"/>
      <c r="B44" s="112"/>
      <c r="C44" s="46" t="str">
        <f>VLOOKUP(D44,[1]숨김!$B$3:$E$300,2,0)</f>
        <v>일반</v>
      </c>
      <c r="D44" s="47" t="s">
        <v>544</v>
      </c>
      <c r="E44" s="47">
        <f>VLOOKUP(D44,[1]숨김!$B$3:$E$300,3,0)</f>
        <v>4</v>
      </c>
      <c r="F44" s="47">
        <v>3</v>
      </c>
      <c r="G44" s="47"/>
      <c r="H44" s="47"/>
      <c r="I44" s="62">
        <v>3</v>
      </c>
      <c r="J44" s="47"/>
      <c r="K44" s="47"/>
      <c r="L44" s="47"/>
      <c r="M44" s="112"/>
      <c r="N44" s="112"/>
      <c r="O44" s="46" t="str">
        <f>VLOOKUP(D44,[1]숨김!$B$3:$E$300,4,0)</f>
        <v>성취도 5단계+석차등급O</v>
      </c>
    </row>
    <row r="45" spans="1:15" ht="16.5" customHeight="1">
      <c r="A45" s="92"/>
      <c r="B45" s="112"/>
      <c r="C45" s="46" t="str">
        <f>VLOOKUP(D45,[1]숨김!$B$3:$E$300,2,0)</f>
        <v>일반</v>
      </c>
      <c r="D45" s="47" t="s">
        <v>545</v>
      </c>
      <c r="E45" s="47">
        <f>VLOOKUP(D45,[1]숨김!$B$3:$E$300,3,0)</f>
        <v>4</v>
      </c>
      <c r="F45" s="47">
        <v>3</v>
      </c>
      <c r="G45" s="47"/>
      <c r="H45" s="47"/>
      <c r="I45" s="62">
        <v>3</v>
      </c>
      <c r="J45" s="47"/>
      <c r="K45" s="47"/>
      <c r="L45" s="47"/>
      <c r="M45" s="112"/>
      <c r="N45" s="112"/>
      <c r="O45" s="46" t="str">
        <f>VLOOKUP(D45,[1]숨김!$B$3:$E$300,4,0)</f>
        <v>성취도 5단계+석차등급O</v>
      </c>
    </row>
    <row r="46" spans="1:15" ht="16.5" customHeight="1">
      <c r="A46" s="92"/>
      <c r="B46" s="112"/>
      <c r="C46" s="46" t="str">
        <f>VLOOKUP(D46,[1]숨김!$B$3:$E$300,2,0)</f>
        <v>일반</v>
      </c>
      <c r="D46" s="47" t="s">
        <v>546</v>
      </c>
      <c r="E46" s="47">
        <f>VLOOKUP(D46,[1]숨김!$B$3:$E$300,3,0)</f>
        <v>4</v>
      </c>
      <c r="F46" s="47">
        <v>3</v>
      </c>
      <c r="G46" s="47"/>
      <c r="H46" s="47"/>
      <c r="I46" s="62"/>
      <c r="J46" s="47"/>
      <c r="K46" s="47"/>
      <c r="L46" s="47"/>
      <c r="M46" s="112"/>
      <c r="N46" s="112"/>
      <c r="O46" s="46" t="str">
        <f>VLOOKUP(D46,[1]숨김!$B$3:$E$300,4,0)</f>
        <v>성취도 5단계+석차등급O</v>
      </c>
    </row>
    <row r="47" spans="1:15" ht="16.5" customHeight="1">
      <c r="A47" s="92"/>
      <c r="B47" s="112"/>
      <c r="C47" s="46" t="str">
        <f>VLOOKUP(D47,[1]숨김!$B$3:$E$300,2,0)</f>
        <v>진로</v>
      </c>
      <c r="D47" s="47" t="s">
        <v>547</v>
      </c>
      <c r="E47" s="47">
        <f>VLOOKUP(D47,[1]숨김!$B$3:$E$300,3,0)</f>
        <v>4</v>
      </c>
      <c r="F47" s="47">
        <v>3</v>
      </c>
      <c r="G47" s="47"/>
      <c r="H47" s="47"/>
      <c r="I47" s="64"/>
      <c r="J47" s="47"/>
      <c r="K47" s="47"/>
      <c r="L47" s="47"/>
      <c r="M47" s="112"/>
      <c r="N47" s="112"/>
      <c r="O47" s="46" t="str">
        <f>VLOOKUP(D47,[1]숨김!$B$3:$E$300,4,0)</f>
        <v>성취도 5단계+석차등급O</v>
      </c>
    </row>
    <row r="48" spans="1:15" ht="16.5" customHeight="1">
      <c r="A48" s="92"/>
      <c r="B48" s="130" t="s">
        <v>505</v>
      </c>
      <c r="C48" s="46" t="str">
        <f>VLOOKUP(D48,[1]숨김!$B$3:$E$300,2,0)</f>
        <v>일반</v>
      </c>
      <c r="D48" s="47" t="s">
        <v>548</v>
      </c>
      <c r="E48" s="47">
        <f>VLOOKUP(D48,[1]숨김!$B$3:$E$300,3,0)</f>
        <v>4</v>
      </c>
      <c r="F48" s="47">
        <v>3</v>
      </c>
      <c r="G48" s="47"/>
      <c r="H48" s="47"/>
      <c r="I48" s="62"/>
      <c r="J48" s="47"/>
      <c r="K48" s="47"/>
      <c r="L48" s="47"/>
      <c r="M48" s="112"/>
      <c r="N48" s="112"/>
      <c r="O48" s="46" t="str">
        <f>VLOOKUP(D48,[1]숨김!$B$3:$E$300,4,0)</f>
        <v>성취도 5단계+석차등급O</v>
      </c>
    </row>
    <row r="49" spans="1:15" ht="16.5" customHeight="1">
      <c r="A49" s="92"/>
      <c r="B49" s="130"/>
      <c r="C49" s="46" t="str">
        <f>VLOOKUP(D49,[1]숨김!$B$3:$E$300,2,0)</f>
        <v>일반</v>
      </c>
      <c r="D49" s="47" t="s">
        <v>549</v>
      </c>
      <c r="E49" s="47">
        <f>VLOOKUP(D49,[1]숨김!$B$3:$E$300,3,0)</f>
        <v>4</v>
      </c>
      <c r="F49" s="47">
        <v>3</v>
      </c>
      <c r="G49" s="47"/>
      <c r="H49" s="47"/>
      <c r="I49" s="62"/>
      <c r="J49" s="47"/>
      <c r="K49" s="47"/>
      <c r="L49" s="47"/>
      <c r="M49" s="112"/>
      <c r="N49" s="112"/>
      <c r="O49" s="46" t="str">
        <f>VLOOKUP(D49,[1]숨김!$B$3:$E$300,4,0)</f>
        <v>성취도 5단계+석차등급O</v>
      </c>
    </row>
    <row r="50" spans="1:15" ht="16.5" customHeight="1">
      <c r="A50" s="92"/>
      <c r="B50" s="130"/>
      <c r="C50" s="46" t="str">
        <f>VLOOKUP(D50,[1]숨김!$B$3:$E$300,2,0)</f>
        <v>일반</v>
      </c>
      <c r="D50" s="47" t="s">
        <v>550</v>
      </c>
      <c r="E50" s="47">
        <f>VLOOKUP(D50,[1]숨김!$B$3:$E$300,3,0)</f>
        <v>4</v>
      </c>
      <c r="F50" s="47">
        <v>3</v>
      </c>
      <c r="G50" s="47"/>
      <c r="H50" s="47"/>
      <c r="I50" s="62"/>
      <c r="J50" s="47"/>
      <c r="K50" s="47"/>
      <c r="L50" s="47"/>
      <c r="M50" s="112"/>
      <c r="N50" s="112"/>
      <c r="O50" s="46" t="str">
        <f>VLOOKUP(D50,[1]숨김!$B$3:$E$300,4,0)</f>
        <v>성취도 5단계+석차등급O</v>
      </c>
    </row>
    <row r="51" spans="1:15" ht="16.5" customHeight="1">
      <c r="A51" s="92"/>
      <c r="B51" s="130"/>
      <c r="C51" s="46" t="str">
        <f>VLOOKUP(D51,[1]숨김!$B$3:$E$300,2,0)</f>
        <v>일반</v>
      </c>
      <c r="D51" s="47" t="s">
        <v>551</v>
      </c>
      <c r="E51" s="47">
        <f>VLOOKUP(D51,[1]숨김!$B$3:$E$300,3,0)</f>
        <v>4</v>
      </c>
      <c r="F51" s="47">
        <v>3</v>
      </c>
      <c r="G51" s="47"/>
      <c r="H51" s="47"/>
      <c r="I51" s="63"/>
      <c r="J51" s="47"/>
      <c r="K51" s="47"/>
      <c r="L51" s="47"/>
      <c r="M51" s="112"/>
      <c r="N51" s="112"/>
      <c r="O51" s="46" t="str">
        <f>VLOOKUP(D51,[1]숨김!$B$3:$E$300,4,0)</f>
        <v>성취도 5단계+석차등급O</v>
      </c>
    </row>
    <row r="52" spans="1:15" ht="16.5" customHeight="1">
      <c r="A52" s="92" t="s">
        <v>42</v>
      </c>
      <c r="B52" s="47" t="s">
        <v>20</v>
      </c>
      <c r="C52" s="46" t="str">
        <f>VLOOKUP(D52,[1]숨김!$B$3:$E$300,2,0)</f>
        <v>진로</v>
      </c>
      <c r="D52" s="47" t="s">
        <v>552</v>
      </c>
      <c r="E52" s="47">
        <f>VLOOKUP(D52,[1]숨김!$B$3:$E$300,3,0)</f>
        <v>4</v>
      </c>
      <c r="F52" s="47">
        <v>3</v>
      </c>
      <c r="G52" s="47"/>
      <c r="H52" s="47"/>
      <c r="I52" s="47"/>
      <c r="J52" s="65">
        <v>3</v>
      </c>
      <c r="K52" s="47"/>
      <c r="L52" s="47"/>
      <c r="M52" s="112">
        <f>SUM(G52:L61)</f>
        <v>12</v>
      </c>
      <c r="N52" s="112"/>
      <c r="O52" s="46" t="str">
        <f>VLOOKUP(D52,[1]숨김!$B$3:$E$300,4,0)</f>
        <v>성취도 5단계+석차등급O</v>
      </c>
    </row>
    <row r="53" spans="1:15" ht="16.5" customHeight="1">
      <c r="A53" s="92"/>
      <c r="B53" s="130" t="s">
        <v>506</v>
      </c>
      <c r="C53" s="46" t="str">
        <f>VLOOKUP(D53,[1]숨김!$B$3:$E$300,2,0)</f>
        <v>진로</v>
      </c>
      <c r="D53" s="47" t="s">
        <v>553</v>
      </c>
      <c r="E53" s="47">
        <f>VLOOKUP(D53,[1]숨김!$B$3:$E$300,3,0)</f>
        <v>4</v>
      </c>
      <c r="F53" s="47">
        <v>3</v>
      </c>
      <c r="G53" s="47"/>
      <c r="H53" s="47"/>
      <c r="I53" s="47"/>
      <c r="J53" s="66">
        <v>3</v>
      </c>
      <c r="K53" s="47"/>
      <c r="L53" s="47"/>
      <c r="M53" s="112"/>
      <c r="N53" s="112"/>
      <c r="O53" s="46" t="str">
        <f>VLOOKUP(D53,[1]숨김!$B$3:$E$300,4,0)</f>
        <v>성취도 5단계+석차등급O</v>
      </c>
    </row>
    <row r="54" spans="1:15" ht="16.5" customHeight="1">
      <c r="A54" s="92"/>
      <c r="B54" s="130"/>
      <c r="C54" s="46" t="str">
        <f>VLOOKUP(D54,[1]숨김!$B$3:$E$300,2,0)</f>
        <v>진로</v>
      </c>
      <c r="D54" s="47" t="s">
        <v>554</v>
      </c>
      <c r="E54" s="47">
        <f>VLOOKUP(D54,[1]숨김!$B$3:$E$300,3,0)</f>
        <v>4</v>
      </c>
      <c r="F54" s="47">
        <v>3</v>
      </c>
      <c r="G54" s="47"/>
      <c r="H54" s="47"/>
      <c r="I54" s="47"/>
      <c r="J54" s="66">
        <v>3</v>
      </c>
      <c r="K54" s="47"/>
      <c r="L54" s="47"/>
      <c r="M54" s="112"/>
      <c r="N54" s="112"/>
      <c r="O54" s="46" t="str">
        <f>VLOOKUP(D54,[1]숨김!$B$3:$E$300,4,0)</f>
        <v>성취도 5단계+석차등급O</v>
      </c>
    </row>
    <row r="55" spans="1:15" ht="16.5" customHeight="1">
      <c r="A55" s="92"/>
      <c r="B55" s="130"/>
      <c r="C55" s="46" t="str">
        <f>VLOOKUP(D55,[1]숨김!$B$3:$E$300,2,0)</f>
        <v>진로</v>
      </c>
      <c r="D55" s="47" t="s">
        <v>555</v>
      </c>
      <c r="E55" s="47">
        <f>VLOOKUP(D55,[1]숨김!$B$3:$E$300,3,0)</f>
        <v>4</v>
      </c>
      <c r="F55" s="47">
        <v>3</v>
      </c>
      <c r="G55" s="47"/>
      <c r="H55" s="47"/>
      <c r="I55" s="47"/>
      <c r="J55" s="66">
        <v>3</v>
      </c>
      <c r="K55" s="47"/>
      <c r="L55" s="47"/>
      <c r="M55" s="112"/>
      <c r="N55" s="112"/>
      <c r="O55" s="46" t="str">
        <f>VLOOKUP(D55,[1]숨김!$B$3:$E$300,4,0)</f>
        <v>성취도 5단계+석차등급O</v>
      </c>
    </row>
    <row r="56" spans="1:15" ht="16.5" customHeight="1">
      <c r="A56" s="92"/>
      <c r="B56" s="130"/>
      <c r="C56" s="46" t="str">
        <f>VLOOKUP(D56,[1]숨김!$B$3:$E$300,2,0)</f>
        <v>진로</v>
      </c>
      <c r="D56" s="47" t="s">
        <v>556</v>
      </c>
      <c r="E56" s="47">
        <f>VLOOKUP(D56,[1]숨김!$B$3:$E$300,3,0)</f>
        <v>4</v>
      </c>
      <c r="F56" s="47">
        <v>3</v>
      </c>
      <c r="G56" s="47"/>
      <c r="H56" s="47"/>
      <c r="I56" s="47"/>
      <c r="J56" s="66"/>
      <c r="K56" s="47"/>
      <c r="L56" s="47"/>
      <c r="M56" s="112"/>
      <c r="N56" s="112"/>
      <c r="O56" s="46" t="str">
        <f>VLOOKUP(D56,[1]숨김!$B$3:$E$300,4,0)</f>
        <v>성취도 5단계+석차등급O</v>
      </c>
    </row>
    <row r="57" spans="1:15" ht="16.5" customHeight="1">
      <c r="A57" s="92"/>
      <c r="B57" s="130" t="s">
        <v>505</v>
      </c>
      <c r="C57" s="46" t="str">
        <f>VLOOKUP(D57,[1]숨김!$B$3:$E$300,2,0)</f>
        <v>진로</v>
      </c>
      <c r="D57" s="47" t="s">
        <v>557</v>
      </c>
      <c r="E57" s="47">
        <f>VLOOKUP(D57,[1]숨김!$B$3:$E$300,3,0)</f>
        <v>4</v>
      </c>
      <c r="F57" s="47">
        <v>3</v>
      </c>
      <c r="G57" s="47"/>
      <c r="H57" s="47"/>
      <c r="I57" s="47"/>
      <c r="J57" s="66"/>
      <c r="K57" s="47"/>
      <c r="L57" s="47"/>
      <c r="M57" s="112"/>
      <c r="N57" s="112"/>
      <c r="O57" s="46" t="str">
        <f>VLOOKUP(D57,[1]숨김!$B$3:$E$300,4,0)</f>
        <v>성취도 5단계+석차등급O</v>
      </c>
    </row>
    <row r="58" spans="1:15" ht="16.5" customHeight="1">
      <c r="A58" s="92"/>
      <c r="B58" s="130"/>
      <c r="C58" s="46" t="str">
        <f>VLOOKUP(D58,[1]숨김!$B$3:$E$300,2,0)</f>
        <v>진로</v>
      </c>
      <c r="D58" s="47" t="s">
        <v>558</v>
      </c>
      <c r="E58" s="47">
        <f>VLOOKUP(D58,[1]숨김!$B$3:$E$300,3,0)</f>
        <v>4</v>
      </c>
      <c r="F58" s="47">
        <v>3</v>
      </c>
      <c r="G58" s="47"/>
      <c r="H58" s="47"/>
      <c r="I58" s="47"/>
      <c r="J58" s="66"/>
      <c r="K58" s="47"/>
      <c r="L58" s="47"/>
      <c r="M58" s="112"/>
      <c r="N58" s="112"/>
      <c r="O58" s="46" t="str">
        <f>VLOOKUP(D58,[1]숨김!$B$3:$E$300,4,0)</f>
        <v>성취도 5단계+석차등급O</v>
      </c>
    </row>
    <row r="59" spans="1:15" ht="16.5" customHeight="1">
      <c r="A59" s="92"/>
      <c r="B59" s="130"/>
      <c r="C59" s="46" t="str">
        <f>VLOOKUP(D59,[1]숨김!$B$3:$E$300,2,0)</f>
        <v>진로</v>
      </c>
      <c r="D59" s="47" t="s">
        <v>559</v>
      </c>
      <c r="E59" s="47">
        <f>VLOOKUP(D59,[1]숨김!$B$3:$E$300,3,0)</f>
        <v>4</v>
      </c>
      <c r="F59" s="47">
        <v>3</v>
      </c>
      <c r="G59" s="47"/>
      <c r="H59" s="47"/>
      <c r="I59" s="47"/>
      <c r="J59" s="66"/>
      <c r="K59" s="47"/>
      <c r="L59" s="47"/>
      <c r="M59" s="112"/>
      <c r="N59" s="112"/>
      <c r="O59" s="46" t="str">
        <f>VLOOKUP(D59,[1]숨김!$B$3:$E$300,4,0)</f>
        <v>성취도 5단계+석차등급O</v>
      </c>
    </row>
    <row r="60" spans="1:15" ht="16.5" customHeight="1">
      <c r="A60" s="92"/>
      <c r="B60" s="130"/>
      <c r="C60" s="46" t="str">
        <f>VLOOKUP(D60,[1]숨김!$B$3:$E$300,2,0)</f>
        <v>진로</v>
      </c>
      <c r="D60" s="47" t="s">
        <v>561</v>
      </c>
      <c r="E60" s="47">
        <f>VLOOKUP(D60,[1]숨김!$B$3:$E$300,3,0)</f>
        <v>4</v>
      </c>
      <c r="F60" s="47">
        <v>3</v>
      </c>
      <c r="G60" s="47"/>
      <c r="H60" s="47"/>
      <c r="I60" s="47"/>
      <c r="J60" s="66"/>
      <c r="K60" s="47"/>
      <c r="L60" s="47"/>
      <c r="M60" s="112"/>
      <c r="N60" s="112"/>
      <c r="O60" s="46" t="str">
        <f>VLOOKUP(D60,[1]숨김!$B$3:$E$300,4,0)</f>
        <v>성취도 5단계+석차등급O</v>
      </c>
    </row>
    <row r="61" spans="1:15" ht="16.5" customHeight="1">
      <c r="A61" s="92"/>
      <c r="B61" s="130"/>
      <c r="C61" s="46" t="str">
        <f>VLOOKUP(D61,[1]숨김!$B$3:$E$300,2,0)</f>
        <v>진로</v>
      </c>
      <c r="D61" s="47" t="s">
        <v>560</v>
      </c>
      <c r="E61" s="47">
        <f>VLOOKUP(D61,[1]숨김!$B$3:$E$300,3,0)</f>
        <v>4</v>
      </c>
      <c r="F61" s="47">
        <v>3</v>
      </c>
      <c r="G61" s="47"/>
      <c r="H61" s="47"/>
      <c r="I61" s="47"/>
      <c r="J61" s="67"/>
      <c r="K61" s="47"/>
      <c r="L61" s="47"/>
      <c r="M61" s="112"/>
      <c r="N61" s="112"/>
      <c r="O61" s="46" t="str">
        <f>VLOOKUP(D61,[1]숨김!$B$3:$E$300,4,0)</f>
        <v>성취도 5단계+석차등급O</v>
      </c>
    </row>
    <row r="62" spans="1:15" ht="16.5" customHeight="1">
      <c r="A62" s="92" t="s">
        <v>43</v>
      </c>
      <c r="B62" s="131" t="s">
        <v>438</v>
      </c>
      <c r="C62" s="46" t="str">
        <f>VLOOKUP(D62,[1]숨김!$B$3:$E$300,2,0)</f>
        <v>일반</v>
      </c>
      <c r="D62" s="47" t="s">
        <v>562</v>
      </c>
      <c r="E62" s="47">
        <f>VLOOKUP(D62,[1]숨김!$B$3:$E$300,3,0)</f>
        <v>4</v>
      </c>
      <c r="F62" s="47">
        <v>3</v>
      </c>
      <c r="G62" s="47"/>
      <c r="H62" s="47"/>
      <c r="I62" s="65">
        <v>3</v>
      </c>
      <c r="J62" s="47"/>
      <c r="K62" s="47"/>
      <c r="L62" s="47"/>
      <c r="M62" s="112">
        <f>SUM(G62:L63)</f>
        <v>3</v>
      </c>
      <c r="N62" s="132"/>
      <c r="O62" s="46" t="str">
        <f>VLOOKUP(D62,[1]숨김!$B$3:$E$300,4,0)</f>
        <v>성취도 5단계+석차등급O</v>
      </c>
    </row>
    <row r="63" spans="1:15" ht="16.5" customHeight="1">
      <c r="A63" s="92"/>
      <c r="B63" s="131"/>
      <c r="C63" s="46" t="str">
        <f>VLOOKUP(D63,[1]숨김!$B$3:$E$300,2,0)</f>
        <v>일반</v>
      </c>
      <c r="D63" s="47" t="s">
        <v>563</v>
      </c>
      <c r="E63" s="47">
        <f>VLOOKUP(D63,[1]숨김!$B$3:$E$300,3,0)</f>
        <v>4</v>
      </c>
      <c r="F63" s="47">
        <v>3</v>
      </c>
      <c r="G63" s="47"/>
      <c r="H63" s="47"/>
      <c r="I63" s="67"/>
      <c r="J63" s="47"/>
      <c r="K63" s="47"/>
      <c r="L63" s="47"/>
      <c r="M63" s="112"/>
      <c r="N63" s="132"/>
      <c r="O63" s="46" t="str">
        <f>VLOOKUP(D63,[1]숨김!$B$3:$E$300,4,0)</f>
        <v>성취도 5단계+석차등급O</v>
      </c>
    </row>
    <row r="64" spans="1:15" ht="16.5" customHeight="1">
      <c r="A64" s="92" t="s">
        <v>44</v>
      </c>
      <c r="B64" s="131" t="s">
        <v>438</v>
      </c>
      <c r="C64" s="46" t="str">
        <f>VLOOKUP(D64,[1]숨김!$B$3:$E$300,2,0)</f>
        <v>진로</v>
      </c>
      <c r="D64" s="47" t="s">
        <v>564</v>
      </c>
      <c r="E64" s="47">
        <f>VLOOKUP(D64,[1]숨김!$B$3:$E$300,3,0)</f>
        <v>4</v>
      </c>
      <c r="F64" s="47">
        <v>3</v>
      </c>
      <c r="G64" s="47"/>
      <c r="H64" s="47"/>
      <c r="I64" s="47"/>
      <c r="J64" s="65">
        <v>3</v>
      </c>
      <c r="K64" s="47"/>
      <c r="L64" s="47"/>
      <c r="M64" s="112">
        <f>SUM(G64:L65)</f>
        <v>3</v>
      </c>
      <c r="N64" s="132"/>
      <c r="O64" s="46" t="str">
        <f>VLOOKUP(D64,[1]숨김!$B$3:$E$300,4,0)</f>
        <v>성취도 5단계+석차등급O</v>
      </c>
    </row>
    <row r="65" spans="1:15" ht="16.5" customHeight="1">
      <c r="A65" s="92"/>
      <c r="B65" s="131"/>
      <c r="C65" s="46" t="str">
        <f>VLOOKUP(D65,[1]숨김!$B$3:$E$300,2,0)</f>
        <v>진로</v>
      </c>
      <c r="D65" s="47" t="s">
        <v>565</v>
      </c>
      <c r="E65" s="47">
        <f>VLOOKUP(D65,[1]숨김!$B$3:$E$300,3,0)</f>
        <v>4</v>
      </c>
      <c r="F65" s="47">
        <v>3</v>
      </c>
      <c r="G65" s="47"/>
      <c r="H65" s="47"/>
      <c r="I65" s="47"/>
      <c r="J65" s="67"/>
      <c r="K65" s="47"/>
      <c r="L65" s="47"/>
      <c r="M65" s="112"/>
      <c r="N65" s="132"/>
      <c r="O65" s="46" t="str">
        <f>VLOOKUP(D65,[1]숨김!$B$3:$E$300,4,0)</f>
        <v>성취도 5단계+석차등급O</v>
      </c>
    </row>
    <row r="66" spans="1:15" ht="16.5" customHeight="1">
      <c r="A66" s="114" t="s">
        <v>566</v>
      </c>
      <c r="B66" s="47" t="s">
        <v>14</v>
      </c>
      <c r="C66" s="46" t="str">
        <f>VLOOKUP(D66,[1]숨김!$B$3:$E$300,2,0)</f>
        <v>진로</v>
      </c>
      <c r="D66" s="47" t="s">
        <v>567</v>
      </c>
      <c r="E66" s="47">
        <f>VLOOKUP(D66,[1]숨김!$B$3:$E$300,3,0)</f>
        <v>4</v>
      </c>
      <c r="F66" s="47">
        <v>3</v>
      </c>
      <c r="G66" s="47"/>
      <c r="H66" s="47"/>
      <c r="I66" s="47"/>
      <c r="J66" s="47"/>
      <c r="K66" s="65">
        <v>3</v>
      </c>
      <c r="L66" s="47"/>
      <c r="M66" s="112">
        <f>SUM(G66:L82)</f>
        <v>12</v>
      </c>
      <c r="N66" s="113"/>
      <c r="O66" s="46" t="str">
        <f>VLOOKUP(D66,[1]숨김!$B$3:$E$300,4,0)</f>
        <v>성취도 5단계+석차등급O</v>
      </c>
    </row>
    <row r="67" spans="1:15" ht="16.5" customHeight="1">
      <c r="A67" s="116"/>
      <c r="B67" s="119" t="s">
        <v>568</v>
      </c>
      <c r="C67" s="46" t="str">
        <f>VLOOKUP(D67,[1]숨김!$B$3:$E$300,2,0)</f>
        <v>진로</v>
      </c>
      <c r="D67" s="47" t="s">
        <v>569</v>
      </c>
      <c r="E67" s="47">
        <f>VLOOKUP(D67,[1]숨김!$B$3:$E$300,3,0)</f>
        <v>4</v>
      </c>
      <c r="F67" s="47">
        <v>3</v>
      </c>
      <c r="G67" s="47"/>
      <c r="H67" s="47"/>
      <c r="I67" s="47"/>
      <c r="J67" s="47"/>
      <c r="K67" s="66">
        <v>3</v>
      </c>
      <c r="L67" s="47"/>
      <c r="M67" s="113"/>
      <c r="N67" s="113"/>
      <c r="O67" s="46" t="str">
        <f>VLOOKUP(D67,[1]숨김!$B$3:$E$300,4,0)</f>
        <v>성취도 5단계+석차등급O</v>
      </c>
    </row>
    <row r="68" spans="1:15" ht="16.5" customHeight="1">
      <c r="A68" s="116"/>
      <c r="B68" s="121"/>
      <c r="C68" s="46" t="str">
        <f>VLOOKUP(D68,[1]숨김!$B$3:$E$300,2,0)</f>
        <v>진로</v>
      </c>
      <c r="D68" s="47" t="s">
        <v>570</v>
      </c>
      <c r="E68" s="47">
        <f>VLOOKUP(D68,[1]숨김!$B$3:$E$300,3,0)</f>
        <v>4</v>
      </c>
      <c r="F68" s="47">
        <v>3</v>
      </c>
      <c r="G68" s="47"/>
      <c r="H68" s="47"/>
      <c r="I68" s="47"/>
      <c r="J68" s="47"/>
      <c r="K68" s="66">
        <v>3</v>
      </c>
      <c r="L68" s="47"/>
      <c r="M68" s="113"/>
      <c r="N68" s="113"/>
      <c r="O68" s="46" t="str">
        <f>VLOOKUP(D68,[1]숨김!$B$3:$E$300,4,0)</f>
        <v>성취도 5단계+석차등급O</v>
      </c>
    </row>
    <row r="69" spans="1:15" ht="16.5" customHeight="1">
      <c r="A69" s="116"/>
      <c r="B69" s="57" t="s">
        <v>326</v>
      </c>
      <c r="C69" s="46" t="str">
        <f>VLOOKUP(D69,[1]숨김!$B$3:$E$300,2,0)</f>
        <v>융합</v>
      </c>
      <c r="D69" s="47" t="s">
        <v>571</v>
      </c>
      <c r="E69" s="47">
        <f>VLOOKUP(D69,[1]숨김!$B$3:$E$300,3,0)</f>
        <v>4</v>
      </c>
      <c r="F69" s="47">
        <v>3</v>
      </c>
      <c r="G69" s="47"/>
      <c r="H69" s="47"/>
      <c r="I69" s="47"/>
      <c r="J69" s="47"/>
      <c r="K69" s="66">
        <v>3</v>
      </c>
      <c r="L69" s="47"/>
      <c r="M69" s="113"/>
      <c r="N69" s="113"/>
      <c r="O69" s="46" t="str">
        <f>VLOOKUP(D69,[1]숨김!$B$3:$E$300,4,0)</f>
        <v>성취도 5단계+석차등급O</v>
      </c>
    </row>
    <row r="70" spans="1:15" ht="16.5" customHeight="1">
      <c r="A70" s="116"/>
      <c r="B70" s="119" t="s">
        <v>506</v>
      </c>
      <c r="C70" s="46" t="str">
        <f>VLOOKUP(D70,[1]숨김!$B$3:$E$300,2,0)</f>
        <v>진로</v>
      </c>
      <c r="D70" s="47" t="s">
        <v>572</v>
      </c>
      <c r="E70" s="47">
        <f>VLOOKUP(D70,[1]숨김!$B$3:$E$300,3,0)</f>
        <v>4</v>
      </c>
      <c r="F70" s="47">
        <v>3</v>
      </c>
      <c r="G70" s="47"/>
      <c r="H70" s="47"/>
      <c r="I70" s="47"/>
      <c r="J70" s="47"/>
      <c r="K70" s="66"/>
      <c r="L70" s="47"/>
      <c r="M70" s="113"/>
      <c r="N70" s="113"/>
      <c r="O70" s="46" t="str">
        <f>VLOOKUP(D70,[1]숨김!$B$3:$E$300,4,0)</f>
        <v>성취도 5단계+석차등급O</v>
      </c>
    </row>
    <row r="71" spans="1:15" ht="16.5" customHeight="1">
      <c r="A71" s="116"/>
      <c r="B71" s="120"/>
      <c r="C71" s="46" t="str">
        <f>VLOOKUP(D71,[1]숨김!$B$3:$E$300,2,0)</f>
        <v>진로</v>
      </c>
      <c r="D71" s="47" t="s">
        <v>573</v>
      </c>
      <c r="E71" s="47">
        <f>VLOOKUP(D71,[1]숨김!$B$3:$E$300,3,0)</f>
        <v>4</v>
      </c>
      <c r="F71" s="47">
        <v>3</v>
      </c>
      <c r="G71" s="47"/>
      <c r="H71" s="47"/>
      <c r="I71" s="47"/>
      <c r="J71" s="47"/>
      <c r="K71" s="66"/>
      <c r="L71" s="47"/>
      <c r="M71" s="113"/>
      <c r="N71" s="113"/>
      <c r="O71" s="46" t="str">
        <f>VLOOKUP(D71,[1]숨김!$B$3:$E$300,4,0)</f>
        <v>성취도 5단계+석차등급O</v>
      </c>
    </row>
    <row r="72" spans="1:15" ht="16.5" customHeight="1">
      <c r="A72" s="116"/>
      <c r="B72" s="120"/>
      <c r="C72" s="46" t="str">
        <f>VLOOKUP(D72,[1]숨김!$B$3:$E$300,2,0)</f>
        <v>진로</v>
      </c>
      <c r="D72" s="47" t="s">
        <v>574</v>
      </c>
      <c r="E72" s="47">
        <f>VLOOKUP(D72,[1]숨김!$B$3:$E$300,3,0)</f>
        <v>4</v>
      </c>
      <c r="F72" s="47">
        <v>3</v>
      </c>
      <c r="G72" s="47"/>
      <c r="H72" s="47"/>
      <c r="I72" s="47"/>
      <c r="J72" s="47"/>
      <c r="K72" s="66"/>
      <c r="L72" s="47"/>
      <c r="M72" s="113"/>
      <c r="N72" s="113"/>
      <c r="O72" s="46" t="str">
        <f>VLOOKUP(D72,[1]숨김!$B$3:$E$300,4,0)</f>
        <v>성취도 5단계+석차등급O</v>
      </c>
    </row>
    <row r="73" spans="1:15" ht="16.5" customHeight="1">
      <c r="A73" s="116"/>
      <c r="B73" s="120"/>
      <c r="C73" s="46" t="str">
        <f>VLOOKUP(D73,[1]숨김!$B$3:$E$300,2,0)</f>
        <v>진로</v>
      </c>
      <c r="D73" s="47" t="s">
        <v>575</v>
      </c>
      <c r="E73" s="47">
        <f>VLOOKUP(D73,[1]숨김!$B$3:$E$300,3,0)</f>
        <v>4</v>
      </c>
      <c r="F73" s="47">
        <v>3</v>
      </c>
      <c r="G73" s="47"/>
      <c r="H73" s="47"/>
      <c r="I73" s="47"/>
      <c r="J73" s="47"/>
      <c r="K73" s="66"/>
      <c r="L73" s="47"/>
      <c r="M73" s="113"/>
      <c r="N73" s="113"/>
      <c r="O73" s="46" t="str">
        <f>VLOOKUP(D73,[1]숨김!$B$3:$E$300,4,0)</f>
        <v>성취도 5단계+석차등급O</v>
      </c>
    </row>
    <row r="74" spans="1:15" ht="16.5" customHeight="1">
      <c r="A74" s="116"/>
      <c r="B74" s="121"/>
      <c r="C74" s="46" t="str">
        <f>VLOOKUP(D74,[1]숨김!$B$3:$E$300,2,0)</f>
        <v>융합</v>
      </c>
      <c r="D74" s="58" t="s">
        <v>576</v>
      </c>
      <c r="E74" s="47">
        <f>VLOOKUP(D74,[1]숨김!$B$3:$E$300,3,0)</f>
        <v>4</v>
      </c>
      <c r="F74" s="47">
        <v>3</v>
      </c>
      <c r="G74" s="47"/>
      <c r="H74" s="47"/>
      <c r="I74" s="47"/>
      <c r="J74" s="47"/>
      <c r="K74" s="66"/>
      <c r="L74" s="47"/>
      <c r="M74" s="113"/>
      <c r="N74" s="113"/>
      <c r="O74" s="46" t="str">
        <f>VLOOKUP(D74,[1]숨김!$B$3:$E$300,4,0)</f>
        <v>성취도 5단계+석차등급X</v>
      </c>
    </row>
    <row r="75" spans="1:15" ht="16.5" customHeight="1">
      <c r="A75" s="116"/>
      <c r="B75" s="119" t="s">
        <v>505</v>
      </c>
      <c r="C75" s="46" t="str">
        <f>VLOOKUP(D75,[1]숨김!$B$3:$E$300,2,0)</f>
        <v>진로</v>
      </c>
      <c r="D75" s="47" t="s">
        <v>577</v>
      </c>
      <c r="E75" s="47">
        <f>VLOOKUP(D75,[1]숨김!$B$3:$E$300,3,0)</f>
        <v>4</v>
      </c>
      <c r="F75" s="47">
        <v>3</v>
      </c>
      <c r="G75" s="47"/>
      <c r="H75" s="47"/>
      <c r="I75" s="47"/>
      <c r="J75" s="47"/>
      <c r="K75" s="66"/>
      <c r="L75" s="47"/>
      <c r="M75" s="113"/>
      <c r="N75" s="113"/>
      <c r="O75" s="46" t="str">
        <f>VLOOKUP(D75,[1]숨김!$B$3:$E$300,4,0)</f>
        <v>성취도 5단계+석차등급O</v>
      </c>
    </row>
    <row r="76" spans="1:15" ht="16.5" customHeight="1">
      <c r="A76" s="116"/>
      <c r="B76" s="120"/>
      <c r="C76" s="46" t="str">
        <f>VLOOKUP(D76,[1]숨김!$B$3:$E$300,2,0)</f>
        <v>진로</v>
      </c>
      <c r="D76" s="47" t="s">
        <v>578</v>
      </c>
      <c r="E76" s="47">
        <f>VLOOKUP(D76,[1]숨김!$B$3:$E$300,3,0)</f>
        <v>4</v>
      </c>
      <c r="F76" s="47">
        <v>3</v>
      </c>
      <c r="G76" s="47"/>
      <c r="H76" s="47"/>
      <c r="I76" s="47"/>
      <c r="J76" s="47"/>
      <c r="K76" s="66"/>
      <c r="L76" s="47"/>
      <c r="M76" s="113"/>
      <c r="N76" s="113"/>
      <c r="O76" s="46" t="str">
        <f>VLOOKUP(D76,[1]숨김!$B$3:$E$300,4,0)</f>
        <v>성취도 5단계+석차등급O</v>
      </c>
    </row>
    <row r="77" spans="1:15" ht="16.5" customHeight="1">
      <c r="A77" s="116"/>
      <c r="B77" s="120"/>
      <c r="C77" s="46" t="str">
        <f>VLOOKUP(D77,[1]숨김!$B$3:$E$300,2,0)</f>
        <v>진로</v>
      </c>
      <c r="D77" s="47" t="s">
        <v>579</v>
      </c>
      <c r="E77" s="47">
        <f>VLOOKUP(D77,[1]숨김!$B$3:$E$300,3,0)</f>
        <v>4</v>
      </c>
      <c r="F77" s="47">
        <v>3</v>
      </c>
      <c r="G77" s="47"/>
      <c r="H77" s="47"/>
      <c r="I77" s="47"/>
      <c r="J77" s="47"/>
      <c r="K77" s="66"/>
      <c r="L77" s="47"/>
      <c r="M77" s="113"/>
      <c r="N77" s="113"/>
      <c r="O77" s="46" t="str">
        <f>VLOOKUP(D77,[1]숨김!$B$3:$E$300,4,0)</f>
        <v>성취도 5단계+석차등급O</v>
      </c>
    </row>
    <row r="78" spans="1:15" ht="16.5" customHeight="1">
      <c r="A78" s="116"/>
      <c r="B78" s="120"/>
      <c r="C78" s="46" t="str">
        <f>VLOOKUP(D78,[1]숨김!$B$3:$E$300,2,0)</f>
        <v>진로</v>
      </c>
      <c r="D78" s="47" t="s">
        <v>580</v>
      </c>
      <c r="E78" s="47">
        <f>VLOOKUP(D78,[1]숨김!$B$3:$E$300,3,0)</f>
        <v>4</v>
      </c>
      <c r="F78" s="47">
        <v>3</v>
      </c>
      <c r="G78" s="47"/>
      <c r="H78" s="47"/>
      <c r="I78" s="47"/>
      <c r="J78" s="47"/>
      <c r="K78" s="66"/>
      <c r="L78" s="47"/>
      <c r="M78" s="113"/>
      <c r="N78" s="113"/>
      <c r="O78" s="46" t="str">
        <f>VLOOKUP(D78,[1]숨김!$B$3:$E$300,4,0)</f>
        <v>성취도 5단계+석차등급O</v>
      </c>
    </row>
    <row r="79" spans="1:15" ht="16.5" customHeight="1">
      <c r="A79" s="116"/>
      <c r="B79" s="120"/>
      <c r="C79" s="46" t="str">
        <f>VLOOKUP(D79,[1]숨김!$B$3:$E$300,2,0)</f>
        <v>진로</v>
      </c>
      <c r="D79" s="47" t="s">
        <v>581</v>
      </c>
      <c r="E79" s="47">
        <f>VLOOKUP(D79,[1]숨김!$B$3:$E$300,3,0)</f>
        <v>4</v>
      </c>
      <c r="F79" s="47">
        <v>3</v>
      </c>
      <c r="G79" s="47"/>
      <c r="H79" s="47"/>
      <c r="I79" s="47"/>
      <c r="J79" s="47"/>
      <c r="K79" s="66"/>
      <c r="L79" s="47"/>
      <c r="M79" s="113"/>
      <c r="N79" s="113"/>
      <c r="O79" s="46" t="str">
        <f>VLOOKUP(D79,[1]숨김!$B$3:$E$300,4,0)</f>
        <v>성취도 5단계+석차등급O</v>
      </c>
    </row>
    <row r="80" spans="1:15" ht="16.5" customHeight="1">
      <c r="A80" s="116"/>
      <c r="B80" s="121"/>
      <c r="C80" s="46" t="str">
        <f>VLOOKUP(D80,[1]숨김!$B$3:$E$300,2,0)</f>
        <v>진로</v>
      </c>
      <c r="D80" s="47" t="s">
        <v>582</v>
      </c>
      <c r="E80" s="47">
        <f>VLOOKUP(D80,[1]숨김!$B$3:$E$300,3,0)</f>
        <v>4</v>
      </c>
      <c r="F80" s="47">
        <v>3</v>
      </c>
      <c r="G80" s="47"/>
      <c r="H80" s="47"/>
      <c r="I80" s="47"/>
      <c r="J80" s="47"/>
      <c r="K80" s="66"/>
      <c r="L80" s="47"/>
      <c r="M80" s="113"/>
      <c r="N80" s="113"/>
      <c r="O80" s="46" t="str">
        <f>VLOOKUP(D80,[1]숨김!$B$3:$E$300,4,0)</f>
        <v>성취도 5단계+석차등급O</v>
      </c>
    </row>
    <row r="81" spans="1:15" ht="16.5" customHeight="1">
      <c r="A81" s="116"/>
      <c r="B81" s="122" t="s">
        <v>438</v>
      </c>
      <c r="C81" s="46" t="str">
        <f>VLOOKUP(D81,[1]숨김!$B$3:$E$300,2,0)</f>
        <v>융합</v>
      </c>
      <c r="D81" s="47" t="s">
        <v>583</v>
      </c>
      <c r="E81" s="47">
        <f>VLOOKUP(D81,[1]숨김!$B$3:$E$300,3,0)</f>
        <v>4</v>
      </c>
      <c r="F81" s="47">
        <v>3</v>
      </c>
      <c r="G81" s="47"/>
      <c r="H81" s="47"/>
      <c r="I81" s="47"/>
      <c r="J81" s="47"/>
      <c r="K81" s="66"/>
      <c r="L81" s="47"/>
      <c r="M81" s="113"/>
      <c r="N81" s="113"/>
      <c r="O81" s="46" t="str">
        <f>VLOOKUP(D81,[1]숨김!$B$3:$E$300,4,0)</f>
        <v>성취도 5단계+석차등급O</v>
      </c>
    </row>
    <row r="82" spans="1:15" ht="16.5" customHeight="1">
      <c r="A82" s="115"/>
      <c r="B82" s="123"/>
      <c r="C82" s="46" t="str">
        <f>VLOOKUP(D82,[1]숨김!$B$3:$E$300,2,0)</f>
        <v>융합</v>
      </c>
      <c r="D82" s="47" t="s">
        <v>584</v>
      </c>
      <c r="E82" s="47">
        <f>VLOOKUP(D82,[1]숨김!$B$3:$E$300,3,0)</f>
        <v>4</v>
      </c>
      <c r="F82" s="47">
        <v>3</v>
      </c>
      <c r="G82" s="47"/>
      <c r="H82" s="47"/>
      <c r="I82" s="47"/>
      <c r="J82" s="47"/>
      <c r="K82" s="67"/>
      <c r="L82" s="47"/>
      <c r="M82" s="113"/>
      <c r="N82" s="113"/>
      <c r="O82" s="46" t="str">
        <f>VLOOKUP(D82,[1]숨김!$B$3:$E$300,4,0)</f>
        <v>성취도 5단계+석차등급O</v>
      </c>
    </row>
    <row r="83" spans="1:15" ht="16.5" customHeight="1">
      <c r="A83" s="114" t="s">
        <v>585</v>
      </c>
      <c r="B83" s="47" t="s">
        <v>14</v>
      </c>
      <c r="C83" s="46" t="str">
        <f>VLOOKUP(D83,[1]숨김!$B$3:$E$300,2,0)</f>
        <v>융합</v>
      </c>
      <c r="D83" s="47" t="s">
        <v>586</v>
      </c>
      <c r="E83" s="47">
        <f>VLOOKUP(D83,[1]숨김!$B$3:$E$300,3,0)</f>
        <v>4</v>
      </c>
      <c r="F83" s="47">
        <v>3</v>
      </c>
      <c r="G83" s="47"/>
      <c r="H83" s="47"/>
      <c r="I83" s="47"/>
      <c r="J83" s="47"/>
      <c r="K83" s="47"/>
      <c r="L83" s="65">
        <v>3</v>
      </c>
      <c r="M83" s="112">
        <f>SUM(G83:L98)</f>
        <v>12</v>
      </c>
      <c r="N83" s="112"/>
      <c r="O83" s="46" t="str">
        <f>VLOOKUP(D83,[1]숨김!$B$3:$E$300,4,0)</f>
        <v>성취도 5단계+석차등급O</v>
      </c>
    </row>
    <row r="84" spans="1:15" ht="16.5" customHeight="1">
      <c r="A84" s="116"/>
      <c r="B84" s="47" t="s">
        <v>20</v>
      </c>
      <c r="C84" s="46" t="str">
        <f>VLOOKUP(D84,[1]숨김!$B$3:$E$300,2,0)</f>
        <v>융합</v>
      </c>
      <c r="D84" s="47" t="s">
        <v>587</v>
      </c>
      <c r="E84" s="47">
        <f>VLOOKUP(D84,[1]숨김!$B$3:$E$300,3,0)</f>
        <v>4</v>
      </c>
      <c r="F84" s="47">
        <v>3</v>
      </c>
      <c r="G84" s="47"/>
      <c r="H84" s="47"/>
      <c r="I84" s="47"/>
      <c r="J84" s="47"/>
      <c r="K84" s="47"/>
      <c r="L84" s="66">
        <v>3</v>
      </c>
      <c r="M84" s="112"/>
      <c r="N84" s="112"/>
      <c r="O84" s="46" t="str">
        <f>VLOOKUP(D84,[1]숨김!$B$3:$E$300,4,0)</f>
        <v>성취도 5단계+석차등급O</v>
      </c>
    </row>
    <row r="85" spans="1:15" ht="16.5" customHeight="1">
      <c r="A85" s="116"/>
      <c r="B85" s="47" t="s">
        <v>23</v>
      </c>
      <c r="C85" s="46" t="str">
        <f>VLOOKUP(D85,[1]숨김!$B$3:$E$300,2,0)</f>
        <v>융합</v>
      </c>
      <c r="D85" s="47" t="s">
        <v>588</v>
      </c>
      <c r="E85" s="47">
        <f>VLOOKUP(D85,[1]숨김!$B$3:$E$300,3,0)</f>
        <v>4</v>
      </c>
      <c r="F85" s="47">
        <v>3</v>
      </c>
      <c r="G85" s="47"/>
      <c r="H85" s="47"/>
      <c r="I85" s="47"/>
      <c r="J85" s="47"/>
      <c r="K85" s="47"/>
      <c r="L85" s="66">
        <v>3</v>
      </c>
      <c r="M85" s="112"/>
      <c r="N85" s="112"/>
      <c r="O85" s="46" t="str">
        <f>VLOOKUP(D85,[1]숨김!$B$3:$E$300,4,0)</f>
        <v>성취도 5단계+석차등급O</v>
      </c>
    </row>
    <row r="86" spans="1:15" ht="16.5" customHeight="1">
      <c r="A86" s="116"/>
      <c r="B86" s="124" t="s">
        <v>424</v>
      </c>
      <c r="C86" s="46" t="str">
        <f>VLOOKUP(D86,[1]숨김!$B$3:$E$300,2,0)</f>
        <v>융합</v>
      </c>
      <c r="D86" s="46" t="s">
        <v>589</v>
      </c>
      <c r="E86" s="47">
        <f>VLOOKUP(D86,[1]숨김!$B$3:$E$300,3,0)</f>
        <v>4</v>
      </c>
      <c r="F86" s="47">
        <v>3</v>
      </c>
      <c r="G86" s="47"/>
      <c r="H86" s="47"/>
      <c r="I86" s="47"/>
      <c r="J86" s="47"/>
      <c r="K86" s="47"/>
      <c r="L86" s="66">
        <v>3</v>
      </c>
      <c r="M86" s="112"/>
      <c r="N86" s="112"/>
      <c r="O86" s="46" t="str">
        <f>VLOOKUP(D86,[1]숨김!$B$3:$E$300,4,0)</f>
        <v>성취도 5단계+석차등급X</v>
      </c>
    </row>
    <row r="87" spans="1:15" ht="16.5" customHeight="1">
      <c r="A87" s="116"/>
      <c r="B87" s="125"/>
      <c r="C87" s="46" t="str">
        <f>VLOOKUP(D87,[1]숨김!$B$3:$E$300,2,0)</f>
        <v>융합</v>
      </c>
      <c r="D87" s="47" t="s">
        <v>590</v>
      </c>
      <c r="E87" s="47">
        <f>VLOOKUP(D87,[1]숨김!$B$3:$E$300,3,0)</f>
        <v>4</v>
      </c>
      <c r="F87" s="47">
        <v>3</v>
      </c>
      <c r="G87" s="47"/>
      <c r="H87" s="47"/>
      <c r="I87" s="47"/>
      <c r="J87" s="47"/>
      <c r="K87" s="47"/>
      <c r="L87" s="66"/>
      <c r="M87" s="112"/>
      <c r="N87" s="112"/>
      <c r="O87" s="46" t="str">
        <f>VLOOKUP(D87,[1]숨김!$B$3:$E$300,4,0)</f>
        <v>성취도 5단계+석차등급X</v>
      </c>
    </row>
    <row r="88" spans="1:15" ht="16.5" customHeight="1">
      <c r="A88" s="116"/>
      <c r="B88" s="125"/>
      <c r="C88" s="46" t="str">
        <f>VLOOKUP(D88,[1]숨김!$B$3:$E$300,2,0)</f>
        <v>융합</v>
      </c>
      <c r="D88" s="47" t="s">
        <v>591</v>
      </c>
      <c r="E88" s="47">
        <f>VLOOKUP(D88,[1]숨김!$B$3:$E$300,3,0)</f>
        <v>4</v>
      </c>
      <c r="F88" s="47">
        <v>3</v>
      </c>
      <c r="G88" s="47"/>
      <c r="H88" s="47"/>
      <c r="I88" s="47"/>
      <c r="J88" s="47"/>
      <c r="K88" s="47"/>
      <c r="L88" s="66"/>
      <c r="M88" s="112"/>
      <c r="N88" s="112"/>
      <c r="O88" s="46" t="str">
        <f>VLOOKUP(D88,[1]숨김!$B$3:$E$300,4,0)</f>
        <v>성취도 5단계+석차등급X</v>
      </c>
    </row>
    <row r="89" spans="1:15" ht="16.5" customHeight="1">
      <c r="A89" s="116"/>
      <c r="B89" s="125"/>
      <c r="C89" s="46" t="str">
        <f>VLOOKUP(D89,[1]숨김!$B$3:$E$300,2,0)</f>
        <v>융합</v>
      </c>
      <c r="D89" s="47" t="s">
        <v>592</v>
      </c>
      <c r="E89" s="47">
        <f>VLOOKUP(D89,[1]숨김!$B$3:$E$300,3,0)</f>
        <v>4</v>
      </c>
      <c r="F89" s="47">
        <v>3</v>
      </c>
      <c r="G89" s="47"/>
      <c r="H89" s="47"/>
      <c r="I89" s="47"/>
      <c r="J89" s="47"/>
      <c r="K89" s="47"/>
      <c r="L89" s="66"/>
      <c r="M89" s="112"/>
      <c r="N89" s="112"/>
      <c r="O89" s="46" t="str">
        <f>VLOOKUP(D89,[1]숨김!$B$3:$E$300,4,0)</f>
        <v>성취도 5단계+석차등급X</v>
      </c>
    </row>
    <row r="90" spans="1:15" ht="16.5" customHeight="1">
      <c r="A90" s="116"/>
      <c r="B90" s="126"/>
      <c r="C90" s="46" t="str">
        <f>VLOOKUP(D90,[1]숨김!$B$3:$E$300,2,0)</f>
        <v>융합</v>
      </c>
      <c r="D90" s="47" t="s">
        <v>593</v>
      </c>
      <c r="E90" s="47">
        <f>VLOOKUP(D90,[1]숨김!$B$3:$E$300,3,0)</f>
        <v>4</v>
      </c>
      <c r="F90" s="47">
        <v>3</v>
      </c>
      <c r="G90" s="47"/>
      <c r="H90" s="47"/>
      <c r="I90" s="47"/>
      <c r="J90" s="47"/>
      <c r="K90" s="47"/>
      <c r="L90" s="66"/>
      <c r="M90" s="112"/>
      <c r="N90" s="112"/>
      <c r="O90" s="46" t="str">
        <f>VLOOKUP(D90,[1]숨김!$B$3:$E$300,4,0)</f>
        <v>성취도 5단계+석차등급X</v>
      </c>
    </row>
    <row r="91" spans="1:15" ht="16.5" customHeight="1">
      <c r="A91" s="116"/>
      <c r="B91" s="124" t="s">
        <v>425</v>
      </c>
      <c r="C91" s="46" t="str">
        <f>VLOOKUP(D91,[1]숨김!$B$3:$E$300,2,0)</f>
        <v>진로</v>
      </c>
      <c r="D91" s="47" t="s">
        <v>577</v>
      </c>
      <c r="E91" s="47">
        <f>VLOOKUP(D91,[1]숨김!$B$3:$E$300,3,0)</f>
        <v>4</v>
      </c>
      <c r="F91" s="47">
        <v>3</v>
      </c>
      <c r="G91" s="47"/>
      <c r="H91" s="47"/>
      <c r="I91" s="47"/>
      <c r="J91" s="47"/>
      <c r="K91" s="47"/>
      <c r="L91" s="66"/>
      <c r="M91" s="112"/>
      <c r="N91" s="112"/>
      <c r="O91" s="46" t="str">
        <f>VLOOKUP(D91,[1]숨김!$B$3:$E$300,4,0)</f>
        <v>성취도 5단계+석차등급O</v>
      </c>
    </row>
    <row r="92" spans="1:15" ht="16.5" customHeight="1">
      <c r="A92" s="116"/>
      <c r="B92" s="125"/>
      <c r="C92" s="46" t="str">
        <f>VLOOKUP(D92,[1]숨김!$B$3:$E$300,2,0)</f>
        <v>진로</v>
      </c>
      <c r="D92" s="47" t="s">
        <v>578</v>
      </c>
      <c r="E92" s="47">
        <f>VLOOKUP(D92,[1]숨김!$B$3:$E$300,3,0)</f>
        <v>4</v>
      </c>
      <c r="F92" s="47">
        <v>3</v>
      </c>
      <c r="G92" s="47"/>
      <c r="H92" s="47"/>
      <c r="I92" s="47"/>
      <c r="J92" s="47"/>
      <c r="K92" s="47"/>
      <c r="L92" s="66"/>
      <c r="M92" s="112"/>
      <c r="N92" s="112"/>
      <c r="O92" s="46" t="str">
        <f>VLOOKUP(D92,[1]숨김!$B$3:$E$300,4,0)</f>
        <v>성취도 5단계+석차등급O</v>
      </c>
    </row>
    <row r="93" spans="1:15" ht="16.5" customHeight="1">
      <c r="A93" s="116"/>
      <c r="B93" s="125"/>
      <c r="C93" s="46" t="str">
        <f>VLOOKUP(D93,[1]숨김!$B$3:$E$300,2,0)</f>
        <v>진로</v>
      </c>
      <c r="D93" s="47" t="s">
        <v>579</v>
      </c>
      <c r="E93" s="47">
        <f>VLOOKUP(D93,[1]숨김!$B$3:$E$300,3,0)</f>
        <v>4</v>
      </c>
      <c r="F93" s="47">
        <v>3</v>
      </c>
      <c r="G93" s="47"/>
      <c r="H93" s="47"/>
      <c r="I93" s="47"/>
      <c r="J93" s="47"/>
      <c r="K93" s="47"/>
      <c r="L93" s="66"/>
      <c r="M93" s="112"/>
      <c r="N93" s="112"/>
      <c r="O93" s="46" t="str">
        <f>VLOOKUP(D93,[1]숨김!$B$3:$E$300,4,0)</f>
        <v>성취도 5단계+석차등급O</v>
      </c>
    </row>
    <row r="94" spans="1:15" ht="16.5" customHeight="1">
      <c r="A94" s="116"/>
      <c r="B94" s="125"/>
      <c r="C94" s="46" t="str">
        <f>VLOOKUP(D94,[1]숨김!$B$3:$E$300,2,0)</f>
        <v>진로</v>
      </c>
      <c r="D94" s="47" t="s">
        <v>580</v>
      </c>
      <c r="E94" s="47">
        <f>VLOOKUP(D94,[1]숨김!$B$3:$E$300,3,0)</f>
        <v>4</v>
      </c>
      <c r="F94" s="47">
        <v>3</v>
      </c>
      <c r="G94" s="47"/>
      <c r="H94" s="47"/>
      <c r="I94" s="47"/>
      <c r="J94" s="47"/>
      <c r="K94" s="47"/>
      <c r="L94" s="66"/>
      <c r="M94" s="112"/>
      <c r="N94" s="112"/>
      <c r="O94" s="46" t="str">
        <f>VLOOKUP(D94,[1]숨김!$B$3:$E$300,4,0)</f>
        <v>성취도 5단계+석차등급O</v>
      </c>
    </row>
    <row r="95" spans="1:15" ht="16.5" customHeight="1">
      <c r="A95" s="116"/>
      <c r="B95" s="125"/>
      <c r="C95" s="46" t="str">
        <f>VLOOKUP(D95,[1]숨김!$B$3:$E$300,2,0)</f>
        <v>융합</v>
      </c>
      <c r="D95" s="47" t="s">
        <v>594</v>
      </c>
      <c r="E95" s="47">
        <f>VLOOKUP(D95,[1]숨김!$B$3:$E$300,3,0)</f>
        <v>4</v>
      </c>
      <c r="F95" s="47">
        <v>3</v>
      </c>
      <c r="G95" s="47"/>
      <c r="H95" s="47"/>
      <c r="I95" s="47"/>
      <c r="J95" s="47"/>
      <c r="K95" s="47"/>
      <c r="L95" s="66"/>
      <c r="M95" s="112"/>
      <c r="N95" s="112"/>
      <c r="O95" s="46" t="str">
        <f>VLOOKUP(D95,[1]숨김!$B$3:$E$300,4,0)</f>
        <v>성취도 5단계+석차등급X</v>
      </c>
    </row>
    <row r="96" spans="1:15" ht="16.5" customHeight="1">
      <c r="A96" s="116"/>
      <c r="B96" s="126"/>
      <c r="C96" s="46" t="str">
        <f>VLOOKUP(D96,[1]숨김!$B$3:$E$300,2,0)</f>
        <v>융합</v>
      </c>
      <c r="D96" s="47" t="s">
        <v>595</v>
      </c>
      <c r="E96" s="47">
        <f>VLOOKUP(D96,[1]숨김!$B$3:$E$300,3,0)</f>
        <v>4</v>
      </c>
      <c r="F96" s="47">
        <v>3</v>
      </c>
      <c r="G96" s="47"/>
      <c r="H96" s="47"/>
      <c r="I96" s="47"/>
      <c r="J96" s="47"/>
      <c r="K96" s="47"/>
      <c r="L96" s="66"/>
      <c r="M96" s="112"/>
      <c r="N96" s="112"/>
      <c r="O96" s="46" t="str">
        <f>VLOOKUP(D96,[1]숨김!$B$3:$E$300,4,0)</f>
        <v>성취도 5단계+석차등급X</v>
      </c>
    </row>
    <row r="97" spans="1:15" ht="16.5" customHeight="1">
      <c r="A97" s="116"/>
      <c r="B97" s="128" t="s">
        <v>438</v>
      </c>
      <c r="C97" s="46" t="str">
        <f>VLOOKUP(D97,[1]숨김!$B$3:$E$300,2,0)</f>
        <v>진로</v>
      </c>
      <c r="D97" s="47" t="s">
        <v>596</v>
      </c>
      <c r="E97" s="47">
        <f>VLOOKUP(D97,[1]숨김!$B$3:$E$300,3,0)</f>
        <v>4</v>
      </c>
      <c r="F97" s="47">
        <v>3</v>
      </c>
      <c r="G97" s="47"/>
      <c r="H97" s="47"/>
      <c r="I97" s="47"/>
      <c r="J97" s="47"/>
      <c r="K97" s="47"/>
      <c r="L97" s="66"/>
      <c r="M97" s="112"/>
      <c r="N97" s="112"/>
      <c r="O97" s="46" t="str">
        <f>VLOOKUP(D97,[1]숨김!$B$3:$E$300,4,0)</f>
        <v>성취도 5단계+석차등급O</v>
      </c>
    </row>
    <row r="98" spans="1:15" ht="16.5" customHeight="1">
      <c r="A98" s="115"/>
      <c r="B98" s="129"/>
      <c r="C98" s="46" t="str">
        <f>VLOOKUP(D98,[1]숨김!$B$3:$E$300,2,0)</f>
        <v>진로</v>
      </c>
      <c r="D98" s="47" t="s">
        <v>597</v>
      </c>
      <c r="E98" s="47">
        <f>VLOOKUP(D98,[1]숨김!$B$3:$E$300,3,0)</f>
        <v>4</v>
      </c>
      <c r="F98" s="47">
        <v>3</v>
      </c>
      <c r="G98" s="47"/>
      <c r="H98" s="47"/>
      <c r="I98" s="47"/>
      <c r="J98" s="47"/>
      <c r="K98" s="47"/>
      <c r="L98" s="67"/>
      <c r="M98" s="112"/>
      <c r="N98" s="112"/>
      <c r="O98" s="46" t="s">
        <v>17</v>
      </c>
    </row>
    <row r="99" spans="1:15" ht="16.5" customHeight="1">
      <c r="A99" s="114" t="s">
        <v>598</v>
      </c>
      <c r="B99" s="128" t="s">
        <v>427</v>
      </c>
      <c r="C99" s="46" t="s">
        <v>37</v>
      </c>
      <c r="D99" s="47" t="s">
        <v>599</v>
      </c>
      <c r="E99" s="47">
        <v>3</v>
      </c>
      <c r="F99" s="47">
        <v>2</v>
      </c>
      <c r="G99" s="47"/>
      <c r="H99" s="47"/>
      <c r="I99" s="47"/>
      <c r="J99" s="47"/>
      <c r="K99" s="65">
        <v>2</v>
      </c>
      <c r="L99" s="65">
        <v>2</v>
      </c>
      <c r="M99" s="112">
        <f>SUM(G99:L100)</f>
        <v>4</v>
      </c>
      <c r="N99" s="112"/>
      <c r="O99" s="46" t="s">
        <v>33</v>
      </c>
    </row>
    <row r="100" spans="1:15" ht="16.5" customHeight="1">
      <c r="A100" s="115"/>
      <c r="B100" s="129"/>
      <c r="C100" s="46" t="s">
        <v>37</v>
      </c>
      <c r="D100" s="47" t="s">
        <v>600</v>
      </c>
      <c r="E100" s="47">
        <v>3</v>
      </c>
      <c r="F100" s="47">
        <v>2</v>
      </c>
      <c r="G100" s="47"/>
      <c r="H100" s="47"/>
      <c r="I100" s="47"/>
      <c r="J100" s="47"/>
      <c r="K100" s="68"/>
      <c r="L100" s="68"/>
      <c r="M100" s="112"/>
      <c r="N100" s="112"/>
      <c r="O100" s="46" t="s">
        <v>33</v>
      </c>
    </row>
    <row r="101" spans="1:15" ht="16.5" customHeight="1">
      <c r="A101" s="114" t="s">
        <v>601</v>
      </c>
      <c r="B101" s="124" t="s">
        <v>442</v>
      </c>
      <c r="C101" s="46" t="str">
        <f>VLOOKUP(D101,[1]숨김!$B$3:$E$300,2,0)</f>
        <v>일반</v>
      </c>
      <c r="D101" s="47" t="s">
        <v>602</v>
      </c>
      <c r="E101" s="47">
        <f>VLOOKUP(D101,[1]숨김!$B$3:$E$300,3,0)</f>
        <v>3</v>
      </c>
      <c r="F101" s="47">
        <v>2</v>
      </c>
      <c r="G101" s="47"/>
      <c r="H101" s="47"/>
      <c r="I101" s="47"/>
      <c r="J101" s="47"/>
      <c r="K101" s="65">
        <v>2</v>
      </c>
      <c r="L101" s="65">
        <v>2</v>
      </c>
      <c r="M101" s="112">
        <f>SUM(G101:L104)</f>
        <v>4</v>
      </c>
      <c r="N101" s="113"/>
      <c r="O101" s="46" t="str">
        <f>VLOOKUP(D101,[1]숨김!$B$3:$E$300,4,0)</f>
        <v>이수/미이수</v>
      </c>
    </row>
    <row r="102" spans="1:15" ht="16.5" customHeight="1">
      <c r="A102" s="116"/>
      <c r="B102" s="125"/>
      <c r="C102" s="46" t="str">
        <f>VLOOKUP(D102,[1]숨김!$B$3:$E$300,2,0)</f>
        <v>진로</v>
      </c>
      <c r="D102" s="47" t="s">
        <v>603</v>
      </c>
      <c r="E102" s="47">
        <f>VLOOKUP(D102,[1]숨김!$B$3:$E$300,3,0)</f>
        <v>3</v>
      </c>
      <c r="F102" s="47">
        <v>2</v>
      </c>
      <c r="G102" s="47"/>
      <c r="H102" s="47"/>
      <c r="I102" s="47"/>
      <c r="J102" s="47"/>
      <c r="K102" s="66"/>
      <c r="L102" s="66"/>
      <c r="M102" s="112"/>
      <c r="N102" s="113"/>
      <c r="O102" s="46" t="str">
        <f>VLOOKUP(D102,[1]숨김!$B$3:$E$300,4,0)</f>
        <v>이수/미이수</v>
      </c>
    </row>
    <row r="103" spans="1:15" ht="16.5" customHeight="1">
      <c r="A103" s="116"/>
      <c r="B103" s="125"/>
      <c r="C103" s="46" t="str">
        <f>VLOOKUP(D103,[1]숨김!$B$3:$E$300,2,0)</f>
        <v>융합</v>
      </c>
      <c r="D103" s="47" t="s">
        <v>604</v>
      </c>
      <c r="E103" s="47">
        <f>VLOOKUP(D103,[1]숨김!$B$3:$E$300,3,0)</f>
        <v>3</v>
      </c>
      <c r="F103" s="47">
        <v>2</v>
      </c>
      <c r="G103" s="47"/>
      <c r="H103" s="47"/>
      <c r="I103" s="47"/>
      <c r="J103" s="47"/>
      <c r="K103" s="66"/>
      <c r="L103" s="66"/>
      <c r="M103" s="112"/>
      <c r="N103" s="113"/>
      <c r="O103" s="46" t="str">
        <f>VLOOKUP(D103,[1]숨김!$B$3:$E$300,4,0)</f>
        <v>이수/미이수</v>
      </c>
    </row>
    <row r="104" spans="1:15" ht="16.5" customHeight="1">
      <c r="A104" s="115"/>
      <c r="B104" s="126"/>
      <c r="C104" s="46" t="str">
        <f>VLOOKUP(D104,[1]숨김!$B$3:$E$300,2,0)</f>
        <v>진로</v>
      </c>
      <c r="D104" s="47" t="s">
        <v>605</v>
      </c>
      <c r="E104" s="47">
        <f>VLOOKUP(D104,[1]숨김!$B$3:$E$300,3,0)</f>
        <v>3</v>
      </c>
      <c r="F104" s="47">
        <v>2</v>
      </c>
      <c r="G104" s="47"/>
      <c r="H104" s="47"/>
      <c r="I104" s="47"/>
      <c r="J104" s="47"/>
      <c r="K104" s="67"/>
      <c r="L104" s="67"/>
      <c r="M104" s="113"/>
      <c r="N104" s="113"/>
      <c r="O104" s="46" t="str">
        <f>VLOOKUP(D104,[1]숨김!$B$3:$E$300,4,0)</f>
        <v>이수/미이수</v>
      </c>
    </row>
    <row r="105" spans="1:15" ht="16.5" customHeight="1">
      <c r="A105" s="117" t="s">
        <v>414</v>
      </c>
      <c r="B105" s="127"/>
      <c r="C105" s="127"/>
      <c r="D105" s="118"/>
      <c r="E105" s="38"/>
      <c r="F105" s="38"/>
      <c r="G105" s="38">
        <f t="shared" ref="G105:L105" si="2">SUM(G42:G104)</f>
        <v>0</v>
      </c>
      <c r="H105" s="38">
        <f t="shared" si="2"/>
        <v>0</v>
      </c>
      <c r="I105" s="38">
        <f t="shared" si="2"/>
        <v>15</v>
      </c>
      <c r="J105" s="38">
        <f t="shared" si="2"/>
        <v>15</v>
      </c>
      <c r="K105" s="38">
        <f t="shared" si="2"/>
        <v>16</v>
      </c>
      <c r="L105" s="38">
        <f t="shared" si="2"/>
        <v>16</v>
      </c>
      <c r="M105" s="117">
        <f>SUM(G105:L105)</f>
        <v>62</v>
      </c>
      <c r="N105" s="118"/>
      <c r="O105" s="56"/>
    </row>
    <row r="106" spans="1:15" ht="16.5" customHeight="1">
      <c r="A106" s="106" t="s">
        <v>515</v>
      </c>
      <c r="B106" s="107"/>
      <c r="C106" s="107"/>
      <c r="D106" s="108"/>
      <c r="E106" s="39"/>
      <c r="F106" s="39"/>
      <c r="G106" s="39">
        <f t="shared" ref="G106:L106" si="3">SUM(G41,G105)</f>
        <v>29</v>
      </c>
      <c r="H106" s="39">
        <f t="shared" si="3"/>
        <v>29</v>
      </c>
      <c r="I106" s="39">
        <f t="shared" si="3"/>
        <v>29</v>
      </c>
      <c r="J106" s="39">
        <f t="shared" si="3"/>
        <v>29</v>
      </c>
      <c r="K106" s="39">
        <f t="shared" si="3"/>
        <v>29</v>
      </c>
      <c r="L106" s="39">
        <f t="shared" si="3"/>
        <v>29</v>
      </c>
      <c r="M106" s="106">
        <f>SUM(G106:L106)</f>
        <v>174</v>
      </c>
      <c r="N106" s="108"/>
      <c r="O106" s="59"/>
    </row>
    <row r="107" spans="1:15" ht="16.5" customHeight="1">
      <c r="A107" s="106" t="s">
        <v>497</v>
      </c>
      <c r="B107" s="107"/>
      <c r="C107" s="107"/>
      <c r="D107" s="108"/>
      <c r="E107" s="39"/>
      <c r="F107" s="39"/>
      <c r="G107" s="39">
        <v>3</v>
      </c>
      <c r="H107" s="39">
        <v>3</v>
      </c>
      <c r="I107" s="39">
        <v>3</v>
      </c>
      <c r="J107" s="39">
        <v>3</v>
      </c>
      <c r="K107" s="39">
        <v>3</v>
      </c>
      <c r="L107" s="39">
        <v>3</v>
      </c>
      <c r="M107" s="106">
        <f>SUM(G107:L107)</f>
        <v>18</v>
      </c>
      <c r="N107" s="108"/>
      <c r="O107" s="59"/>
    </row>
    <row r="108" spans="1:15" ht="16.5" customHeight="1">
      <c r="A108" s="109" t="s">
        <v>516</v>
      </c>
      <c r="B108" s="110"/>
      <c r="C108" s="110"/>
      <c r="D108" s="111"/>
      <c r="E108" s="60"/>
      <c r="F108" s="60"/>
      <c r="G108" s="60">
        <f t="shared" ref="G108:L108" si="4">SUM(G106:G107)</f>
        <v>32</v>
      </c>
      <c r="H108" s="60">
        <f t="shared" si="4"/>
        <v>32</v>
      </c>
      <c r="I108" s="60">
        <v>32</v>
      </c>
      <c r="J108" s="60">
        <f t="shared" si="4"/>
        <v>32</v>
      </c>
      <c r="K108" s="60">
        <f t="shared" si="4"/>
        <v>32</v>
      </c>
      <c r="L108" s="60">
        <f t="shared" si="4"/>
        <v>32</v>
      </c>
      <c r="M108" s="109">
        <f>SUM(G108:L108)</f>
        <v>192</v>
      </c>
      <c r="N108" s="111"/>
      <c r="O108" s="61"/>
    </row>
    <row r="109" spans="1:15" ht="16.5" customHeight="1">
      <c r="A109" s="2"/>
      <c r="N109" s="2"/>
    </row>
    <row r="110" spans="1:15" ht="16.5" customHeight="1">
      <c r="A110" s="2"/>
      <c r="N110" s="2"/>
    </row>
    <row r="111" spans="1:15" ht="16.5" customHeight="1">
      <c r="A111" s="2"/>
      <c r="N111" s="2"/>
    </row>
    <row r="112" spans="1:15" ht="16.5" customHeight="1">
      <c r="A112" s="2"/>
      <c r="N112" s="2"/>
    </row>
    <row r="113" spans="1:14" ht="16.5" customHeight="1">
      <c r="A113" s="2"/>
      <c r="N113" s="2"/>
    </row>
    <row r="114" spans="1:14" ht="16.5" customHeight="1">
      <c r="A114" s="2"/>
      <c r="N114" s="2"/>
    </row>
    <row r="115" spans="1:14" ht="16.5" customHeight="1">
      <c r="A115" s="2"/>
      <c r="N115" s="2"/>
    </row>
    <row r="116" spans="1:14" ht="16.5" customHeight="1">
      <c r="A116" s="2"/>
      <c r="N116" s="2"/>
    </row>
    <row r="117" spans="1:14" ht="16.5" customHeight="1">
      <c r="A117" s="2"/>
      <c r="N117" s="2"/>
    </row>
    <row r="118" spans="1:14" ht="16.5" customHeight="1">
      <c r="A118" s="2"/>
      <c r="N118" s="2"/>
    </row>
    <row r="119" spans="1:14" ht="16.5" customHeight="1">
      <c r="A119" s="2"/>
      <c r="N119" s="2"/>
    </row>
    <row r="120" spans="1:14" ht="16.5" customHeight="1">
      <c r="A120" s="2"/>
      <c r="N120" s="2"/>
    </row>
    <row r="121" spans="1:14" ht="16.5" customHeight="1">
      <c r="A121" s="2"/>
      <c r="N121" s="2"/>
    </row>
    <row r="122" spans="1:14" ht="16.5" customHeight="1">
      <c r="A122" s="2"/>
      <c r="N122" s="2"/>
    </row>
    <row r="123" spans="1:14" ht="16.5" customHeight="1">
      <c r="A123" s="2"/>
      <c r="N123" s="2"/>
    </row>
    <row r="124" spans="1:14" ht="16.5" customHeight="1">
      <c r="A124" s="2"/>
      <c r="N124" s="2"/>
    </row>
    <row r="125" spans="1:14" ht="16.5" customHeight="1">
      <c r="A125" s="2"/>
      <c r="N125" s="2"/>
    </row>
    <row r="126" spans="1:14" ht="16.5" customHeight="1">
      <c r="A126" s="2"/>
      <c r="N126" s="2"/>
    </row>
    <row r="127" spans="1:14" ht="16.5" customHeight="1">
      <c r="A127" s="2"/>
      <c r="N127" s="2"/>
    </row>
    <row r="128" spans="1:14" ht="16.5" customHeight="1">
      <c r="A128" s="2"/>
      <c r="N128" s="2"/>
    </row>
    <row r="129" spans="1:14" ht="16.5" customHeight="1">
      <c r="A129" s="2"/>
      <c r="N129" s="2"/>
    </row>
    <row r="130" spans="1:14" ht="16.5" customHeight="1">
      <c r="A130" s="2"/>
      <c r="N130" s="2"/>
    </row>
    <row r="131" spans="1:14" ht="16.5" customHeight="1">
      <c r="A131" s="2"/>
      <c r="N131" s="2"/>
    </row>
    <row r="132" spans="1:14" ht="16.5" customHeight="1">
      <c r="A132" s="2"/>
      <c r="N132" s="2"/>
    </row>
    <row r="133" spans="1:14" ht="16.5" customHeight="1">
      <c r="A133" s="2"/>
      <c r="N133" s="2"/>
    </row>
    <row r="134" spans="1:14" ht="16.5" customHeight="1">
      <c r="A134" s="2"/>
      <c r="N134" s="2"/>
    </row>
    <row r="135" spans="1:14" ht="16.5" customHeight="1">
      <c r="A135" s="2"/>
      <c r="N135" s="2"/>
    </row>
    <row r="136" spans="1:14" ht="16.5" customHeight="1">
      <c r="A136" s="2"/>
      <c r="N136" s="2"/>
    </row>
    <row r="137" spans="1:14" ht="16.5" customHeight="1">
      <c r="A137" s="2"/>
      <c r="N137" s="2"/>
    </row>
    <row r="138" spans="1:14" ht="16.5" customHeight="1">
      <c r="A138" s="2"/>
      <c r="N138" s="2"/>
    </row>
    <row r="139" spans="1:14" ht="16.5" customHeight="1">
      <c r="A139" s="2"/>
      <c r="N139" s="2"/>
    </row>
    <row r="140" spans="1:14" ht="16.5" customHeight="1">
      <c r="A140" s="2"/>
      <c r="N140" s="2"/>
    </row>
    <row r="141" spans="1:14" ht="16.5" customHeight="1">
      <c r="A141" s="2"/>
      <c r="N141" s="2"/>
    </row>
    <row r="142" spans="1:14" ht="16.5" customHeight="1">
      <c r="A142" s="2"/>
      <c r="N142" s="2"/>
    </row>
    <row r="143" spans="1:14" ht="16.5" customHeight="1">
      <c r="A143" s="2"/>
      <c r="N143" s="2"/>
    </row>
    <row r="144" spans="1:14" ht="16.5" customHeight="1">
      <c r="A144" s="2"/>
      <c r="N144" s="2"/>
    </row>
    <row r="145" spans="1:14" ht="16.5" customHeight="1">
      <c r="A145" s="2"/>
      <c r="N145" s="2"/>
    </row>
    <row r="146" spans="1:14" ht="16.5" customHeight="1">
      <c r="A146" s="2"/>
      <c r="N146" s="2"/>
    </row>
    <row r="147" spans="1:14" ht="16.5" customHeight="1">
      <c r="A147" s="2"/>
      <c r="N147" s="2"/>
    </row>
    <row r="148" spans="1:14" ht="16.5" customHeight="1">
      <c r="A148" s="2"/>
      <c r="N148" s="2"/>
    </row>
    <row r="149" spans="1:14" ht="16.5" customHeight="1">
      <c r="A149" s="2"/>
      <c r="N149" s="2"/>
    </row>
    <row r="150" spans="1:14" ht="16.5" customHeight="1">
      <c r="A150" s="2"/>
      <c r="N150" s="2"/>
    </row>
    <row r="151" spans="1:14" ht="16.5" customHeight="1">
      <c r="A151" s="2"/>
      <c r="N151" s="2"/>
    </row>
    <row r="152" spans="1:14" ht="16.5" customHeight="1">
      <c r="A152" s="2"/>
      <c r="N152" s="2"/>
    </row>
    <row r="153" spans="1:14" ht="16.5" customHeight="1">
      <c r="A153" s="2"/>
      <c r="N153" s="2"/>
    </row>
    <row r="154" spans="1:14" ht="16.5" customHeight="1">
      <c r="A154" s="2"/>
      <c r="N154" s="2"/>
    </row>
    <row r="155" spans="1:14" ht="16.5" customHeight="1">
      <c r="A155" s="2"/>
      <c r="N155" s="2"/>
    </row>
    <row r="156" spans="1:14" ht="16.5" customHeight="1">
      <c r="A156" s="2"/>
      <c r="N156" s="2"/>
    </row>
    <row r="157" spans="1:14" ht="16.5" customHeight="1">
      <c r="A157" s="2"/>
      <c r="N157" s="2"/>
    </row>
    <row r="158" spans="1:14" ht="16.5" customHeight="1">
      <c r="A158" s="2"/>
      <c r="N158" s="2"/>
    </row>
    <row r="159" spans="1:14" ht="16.5" customHeight="1">
      <c r="A159" s="2"/>
      <c r="N159" s="2"/>
    </row>
    <row r="160" spans="1:14" ht="16.5" customHeight="1">
      <c r="A160" s="2"/>
      <c r="N160" s="2"/>
    </row>
    <row r="161" spans="1:14" ht="16.5" customHeight="1">
      <c r="A161" s="2"/>
      <c r="N161" s="2"/>
    </row>
    <row r="162" spans="1:14" ht="16.5" customHeight="1">
      <c r="A162" s="2"/>
      <c r="N162" s="2"/>
    </row>
    <row r="163" spans="1:14" ht="16.5" customHeight="1">
      <c r="A163" s="2"/>
      <c r="N163" s="2"/>
    </row>
    <row r="164" spans="1:14" ht="16.5" customHeight="1">
      <c r="A164" s="2"/>
      <c r="N164" s="2"/>
    </row>
    <row r="165" spans="1:14" ht="16.5" customHeight="1">
      <c r="A165" s="2"/>
      <c r="N165" s="2"/>
    </row>
    <row r="166" spans="1:14" ht="16.5" customHeight="1">
      <c r="A166" s="2"/>
      <c r="N166" s="2"/>
    </row>
    <row r="167" spans="1:14" ht="16.5" customHeight="1">
      <c r="A167" s="2"/>
      <c r="N167" s="2"/>
    </row>
    <row r="168" spans="1:14" ht="16.5" customHeight="1">
      <c r="A168" s="2"/>
      <c r="N168" s="2"/>
    </row>
    <row r="169" spans="1:14" ht="16.5" customHeight="1">
      <c r="A169" s="2"/>
      <c r="N169" s="2"/>
    </row>
    <row r="170" spans="1:14" ht="16.5" customHeight="1">
      <c r="A170" s="2"/>
      <c r="N170" s="2"/>
    </row>
    <row r="171" spans="1:14" ht="16.5" customHeight="1">
      <c r="A171" s="2"/>
      <c r="N171" s="2"/>
    </row>
    <row r="172" spans="1:14" ht="16.5" customHeight="1">
      <c r="A172" s="2"/>
      <c r="N172" s="2"/>
    </row>
    <row r="173" spans="1:14" ht="16.5" customHeight="1">
      <c r="A173" s="2"/>
      <c r="N173" s="2"/>
    </row>
    <row r="174" spans="1:14" ht="16.5" customHeight="1">
      <c r="A174" s="2"/>
      <c r="N174" s="2"/>
    </row>
    <row r="175" spans="1:14" ht="16.5" customHeight="1">
      <c r="A175" s="2"/>
      <c r="N175" s="2"/>
    </row>
    <row r="176" spans="1:14" ht="16.5" customHeight="1">
      <c r="A176" s="2"/>
      <c r="N176" s="2"/>
    </row>
    <row r="177" spans="1:14" ht="16.5" customHeight="1">
      <c r="A177" s="2"/>
      <c r="N177" s="2"/>
    </row>
    <row r="178" spans="1:14" ht="16.5" customHeight="1">
      <c r="A178" s="2"/>
      <c r="N178" s="2"/>
    </row>
    <row r="179" spans="1:14" ht="16.5" customHeight="1">
      <c r="A179" s="2"/>
      <c r="N179" s="2"/>
    </row>
    <row r="180" spans="1:14" ht="16.5" customHeight="1">
      <c r="A180" s="2"/>
      <c r="N180" s="2"/>
    </row>
    <row r="181" spans="1:14" ht="16.5" customHeight="1">
      <c r="A181" s="2"/>
      <c r="N181" s="2"/>
    </row>
    <row r="182" spans="1:14" ht="16.5" customHeight="1">
      <c r="A182" s="2"/>
      <c r="N182" s="2"/>
    </row>
    <row r="183" spans="1:14" ht="16.5" customHeight="1">
      <c r="A183" s="2"/>
      <c r="N183" s="2"/>
    </row>
    <row r="184" spans="1:14" ht="16.5" customHeight="1">
      <c r="A184" s="2"/>
      <c r="N184" s="2"/>
    </row>
    <row r="185" spans="1:14" ht="16.5" customHeight="1">
      <c r="A185" s="2"/>
      <c r="N185" s="2"/>
    </row>
    <row r="186" spans="1:14" ht="16.5" customHeight="1">
      <c r="A186" s="2"/>
      <c r="N186" s="2"/>
    </row>
    <row r="187" spans="1:14" ht="16.5" customHeight="1">
      <c r="A187" s="2"/>
      <c r="N187" s="2"/>
    </row>
    <row r="188" spans="1:14" ht="16.5" customHeight="1">
      <c r="A188" s="2"/>
      <c r="N188" s="2"/>
    </row>
    <row r="189" spans="1:14" ht="16.5" customHeight="1">
      <c r="A189" s="2"/>
      <c r="N189" s="2"/>
    </row>
    <row r="190" spans="1:14" ht="16.5" customHeight="1">
      <c r="A190" s="2"/>
      <c r="N190" s="2"/>
    </row>
    <row r="191" spans="1:14" ht="16.5" customHeight="1">
      <c r="A191" s="2"/>
      <c r="N191" s="2"/>
    </row>
    <row r="192" spans="1:14" ht="16.5" customHeight="1">
      <c r="A192" s="2"/>
      <c r="N192" s="2"/>
    </row>
    <row r="193" spans="1:14" ht="16.5" customHeight="1">
      <c r="A193" s="2"/>
      <c r="N193" s="2"/>
    </row>
    <row r="194" spans="1:14" ht="16.5" customHeight="1">
      <c r="A194" s="2"/>
      <c r="N194" s="2"/>
    </row>
    <row r="195" spans="1:14" ht="16.5" customHeight="1">
      <c r="A195" s="2"/>
      <c r="N195" s="2"/>
    </row>
    <row r="196" spans="1:14" ht="16.5" customHeight="1">
      <c r="A196" s="2"/>
      <c r="N196" s="2"/>
    </row>
    <row r="197" spans="1:14" ht="16.5" customHeight="1">
      <c r="A197" s="2"/>
      <c r="N197" s="2"/>
    </row>
    <row r="198" spans="1:14" ht="16.5" customHeight="1">
      <c r="A198" s="2"/>
      <c r="N198" s="2"/>
    </row>
    <row r="199" spans="1:14" ht="16.5" customHeight="1">
      <c r="A199" s="2"/>
      <c r="N199" s="2"/>
    </row>
    <row r="200" spans="1:14" ht="16.5" customHeight="1">
      <c r="A200" s="2"/>
      <c r="N200" s="2"/>
    </row>
    <row r="201" spans="1:14" ht="16.5" customHeight="1">
      <c r="A201" s="2"/>
      <c r="N201" s="2"/>
    </row>
    <row r="202" spans="1:14" ht="16.5" customHeight="1">
      <c r="A202" s="2"/>
      <c r="N202" s="2"/>
    </row>
    <row r="203" spans="1:14" ht="16.5" customHeight="1">
      <c r="A203" s="2"/>
      <c r="N203" s="2"/>
    </row>
    <row r="204" spans="1:14" ht="16.5" customHeight="1">
      <c r="A204" s="2"/>
      <c r="N204" s="2"/>
    </row>
    <row r="205" spans="1:14" ht="16.5" customHeight="1">
      <c r="A205" s="2"/>
      <c r="N205" s="2"/>
    </row>
    <row r="206" spans="1:14" ht="16.5" customHeight="1">
      <c r="A206" s="2"/>
      <c r="N206" s="2"/>
    </row>
    <row r="207" spans="1:14" ht="16.5" customHeight="1">
      <c r="A207" s="2"/>
      <c r="N207" s="2"/>
    </row>
    <row r="208" spans="1:14" ht="16.5" customHeight="1">
      <c r="A208" s="2"/>
      <c r="N208" s="2"/>
    </row>
    <row r="209" spans="1:14" ht="16.5" customHeight="1">
      <c r="A209" s="2"/>
      <c r="N209" s="2"/>
    </row>
    <row r="210" spans="1:14" ht="16.5" customHeight="1">
      <c r="A210" s="2"/>
      <c r="N210" s="2"/>
    </row>
    <row r="211" spans="1:14" ht="16.5" customHeight="1">
      <c r="A211" s="2"/>
      <c r="N211" s="2"/>
    </row>
    <row r="212" spans="1:14" ht="16.5" customHeight="1">
      <c r="A212" s="2"/>
      <c r="N212" s="2"/>
    </row>
    <row r="213" spans="1:14" ht="16.5" customHeight="1">
      <c r="A213" s="2"/>
      <c r="N213" s="2"/>
    </row>
    <row r="214" spans="1:14" ht="16.5" customHeight="1">
      <c r="A214" s="2"/>
      <c r="N214" s="2"/>
    </row>
    <row r="215" spans="1:14" ht="16.5" customHeight="1">
      <c r="A215" s="2"/>
      <c r="N215" s="2"/>
    </row>
    <row r="216" spans="1:14" ht="16.5" customHeight="1">
      <c r="A216" s="2"/>
      <c r="N216" s="2"/>
    </row>
    <row r="217" spans="1:14" ht="16.5" customHeight="1">
      <c r="A217" s="2"/>
      <c r="N217" s="2"/>
    </row>
    <row r="218" spans="1:14" ht="16.5" customHeight="1">
      <c r="A218" s="2"/>
      <c r="N218" s="2"/>
    </row>
    <row r="219" spans="1:14" ht="16.5" customHeight="1">
      <c r="A219" s="2"/>
      <c r="N219" s="2"/>
    </row>
    <row r="220" spans="1:14" ht="16.5" customHeight="1">
      <c r="A220" s="2"/>
      <c r="N220" s="2"/>
    </row>
    <row r="221" spans="1:14" ht="16.5" customHeight="1">
      <c r="A221" s="2"/>
      <c r="N221" s="2"/>
    </row>
    <row r="222" spans="1:14" ht="16.5" customHeight="1">
      <c r="A222" s="2"/>
      <c r="N222" s="2"/>
    </row>
    <row r="223" spans="1:14" ht="16.5" customHeight="1">
      <c r="A223" s="2"/>
      <c r="N223" s="2"/>
    </row>
    <row r="224" spans="1:14" ht="16.5" customHeight="1">
      <c r="A224" s="2"/>
      <c r="N224" s="2"/>
    </row>
    <row r="225" spans="1:14" ht="16.5" customHeight="1">
      <c r="A225" s="2"/>
      <c r="N225" s="2"/>
    </row>
    <row r="226" spans="1:14" ht="16.5" customHeight="1">
      <c r="A226" s="2"/>
      <c r="N226" s="2"/>
    </row>
    <row r="227" spans="1:14" ht="16.5" customHeight="1">
      <c r="A227" s="2"/>
      <c r="N227" s="2"/>
    </row>
    <row r="228" spans="1:14" ht="16.5" customHeight="1">
      <c r="A228" s="2"/>
      <c r="N228" s="2"/>
    </row>
    <row r="229" spans="1:14" ht="16.5" customHeight="1">
      <c r="A229" s="2"/>
      <c r="N229" s="2"/>
    </row>
    <row r="230" spans="1:14" ht="16.5" customHeight="1">
      <c r="A230" s="2"/>
      <c r="N230" s="2"/>
    </row>
    <row r="231" spans="1:14" ht="16.5" customHeight="1">
      <c r="A231" s="2"/>
      <c r="N231" s="2"/>
    </row>
    <row r="232" spans="1:14" ht="16.5" customHeight="1">
      <c r="A232" s="2"/>
      <c r="N232" s="2"/>
    </row>
    <row r="233" spans="1:14" ht="16.5" customHeight="1">
      <c r="A233" s="2"/>
      <c r="N233" s="2"/>
    </row>
    <row r="234" spans="1:14" ht="16.5" customHeight="1">
      <c r="A234" s="2"/>
      <c r="N234" s="2"/>
    </row>
    <row r="235" spans="1:14" ht="16.5" customHeight="1">
      <c r="A235" s="2"/>
      <c r="N235" s="2"/>
    </row>
    <row r="236" spans="1:14" ht="16.5" customHeight="1">
      <c r="A236" s="2"/>
      <c r="N236" s="2"/>
    </row>
    <row r="237" spans="1:14" ht="16.5" customHeight="1">
      <c r="A237" s="2"/>
      <c r="N237" s="2"/>
    </row>
    <row r="238" spans="1:14" ht="16.5" customHeight="1">
      <c r="A238" s="2"/>
      <c r="N238" s="2"/>
    </row>
    <row r="239" spans="1:14" ht="16.5" customHeight="1">
      <c r="A239" s="2"/>
      <c r="N239" s="2"/>
    </row>
    <row r="240" spans="1:14" ht="16.5" customHeight="1">
      <c r="A240" s="2"/>
      <c r="N240" s="2"/>
    </row>
    <row r="241" spans="1:14" ht="16.5" customHeight="1">
      <c r="A241" s="2"/>
      <c r="N241" s="2"/>
    </row>
    <row r="242" spans="1:14" ht="16.5" customHeight="1">
      <c r="A242" s="2"/>
      <c r="N242" s="2"/>
    </row>
    <row r="243" spans="1:14" ht="16.5" customHeight="1">
      <c r="A243" s="2"/>
      <c r="N243" s="2"/>
    </row>
    <row r="244" spans="1:14" ht="16.5" customHeight="1">
      <c r="A244" s="2"/>
      <c r="N244" s="2"/>
    </row>
    <row r="245" spans="1:14" ht="16.5" customHeight="1">
      <c r="A245" s="2"/>
      <c r="N245" s="2"/>
    </row>
    <row r="246" spans="1:14" ht="16.5" customHeight="1">
      <c r="A246" s="2"/>
      <c r="N246" s="2"/>
    </row>
    <row r="247" spans="1:14" ht="16.5" customHeight="1">
      <c r="A247" s="2"/>
      <c r="N247" s="2"/>
    </row>
    <row r="248" spans="1:14" ht="16.5" customHeight="1">
      <c r="A248" s="2"/>
      <c r="N248" s="2"/>
    </row>
    <row r="249" spans="1:14" ht="16.5" customHeight="1">
      <c r="A249" s="2"/>
      <c r="N249" s="2"/>
    </row>
    <row r="250" spans="1:14" ht="16.5" customHeight="1">
      <c r="A250" s="2"/>
      <c r="N250" s="2"/>
    </row>
    <row r="251" spans="1:14" ht="16.5" customHeight="1">
      <c r="A251" s="2"/>
      <c r="N251" s="2"/>
    </row>
    <row r="252" spans="1:14" ht="16.5" customHeight="1">
      <c r="A252" s="2"/>
      <c r="N252" s="2"/>
    </row>
    <row r="253" spans="1:14" ht="16.5" customHeight="1">
      <c r="A253" s="2"/>
      <c r="N253" s="2"/>
    </row>
    <row r="254" spans="1:14" ht="16.5" customHeight="1">
      <c r="A254" s="2"/>
      <c r="N254" s="2"/>
    </row>
    <row r="255" spans="1:14" ht="16.5" customHeight="1">
      <c r="A255" s="2"/>
      <c r="N255" s="2"/>
    </row>
    <row r="256" spans="1:14" ht="16.5" customHeight="1">
      <c r="A256" s="2"/>
      <c r="N256" s="2"/>
    </row>
    <row r="257" spans="1:14" ht="16.5" customHeight="1">
      <c r="A257" s="2"/>
      <c r="N257" s="2"/>
    </row>
    <row r="258" spans="1:14" ht="16.5" customHeight="1">
      <c r="A258" s="2"/>
      <c r="N258" s="2"/>
    </row>
    <row r="259" spans="1:14" ht="16.5" customHeight="1">
      <c r="A259" s="2"/>
      <c r="N259" s="2"/>
    </row>
    <row r="260" spans="1:14" ht="16.5" customHeight="1">
      <c r="A260" s="2"/>
      <c r="N260" s="2"/>
    </row>
    <row r="261" spans="1:14" ht="16.5" customHeight="1">
      <c r="A261" s="2"/>
      <c r="N261" s="2"/>
    </row>
    <row r="262" spans="1:14" ht="16.5" customHeight="1">
      <c r="A262" s="2"/>
      <c r="N262" s="2"/>
    </row>
    <row r="263" spans="1:14" ht="16.5" customHeight="1">
      <c r="A263" s="2"/>
      <c r="N263" s="2"/>
    </row>
    <row r="264" spans="1:14" ht="16.5" customHeight="1">
      <c r="A264" s="2"/>
      <c r="N264" s="2"/>
    </row>
    <row r="265" spans="1:14" ht="16.5" customHeight="1">
      <c r="A265" s="2"/>
      <c r="N265" s="2"/>
    </row>
    <row r="266" spans="1:14" ht="16.5" customHeight="1">
      <c r="A266" s="2"/>
      <c r="N266" s="2"/>
    </row>
    <row r="267" spans="1:14" ht="16.5" customHeight="1">
      <c r="A267" s="2"/>
      <c r="N267" s="2"/>
    </row>
    <row r="268" spans="1:14" ht="16.5" customHeight="1">
      <c r="A268" s="2"/>
      <c r="N268" s="2"/>
    </row>
    <row r="269" spans="1:14" ht="16.5" customHeight="1">
      <c r="A269" s="2"/>
      <c r="N269" s="2"/>
    </row>
    <row r="270" spans="1:14" ht="16.5" customHeight="1">
      <c r="A270" s="2"/>
      <c r="N270" s="2"/>
    </row>
    <row r="271" spans="1:14" ht="16.5" customHeight="1">
      <c r="A271" s="2"/>
      <c r="N271" s="2"/>
    </row>
    <row r="272" spans="1:14" ht="16.5" customHeight="1">
      <c r="A272" s="2"/>
      <c r="N272" s="2"/>
    </row>
    <row r="273" spans="1:14" ht="16.5" customHeight="1">
      <c r="A273" s="2"/>
      <c r="N273" s="2"/>
    </row>
    <row r="274" spans="1:14" ht="16.5" customHeight="1">
      <c r="A274" s="2"/>
      <c r="N274" s="2"/>
    </row>
    <row r="275" spans="1:14" ht="16.5" customHeight="1">
      <c r="A275" s="2"/>
      <c r="N275" s="2"/>
    </row>
    <row r="276" spans="1:14" ht="16.5" customHeight="1">
      <c r="A276" s="2"/>
      <c r="N276" s="2"/>
    </row>
    <row r="277" spans="1:14" ht="16.5" customHeight="1">
      <c r="A277" s="2"/>
      <c r="N277" s="2"/>
    </row>
    <row r="278" spans="1:14" ht="16.5" customHeight="1">
      <c r="A278" s="2"/>
      <c r="N278" s="2"/>
    </row>
    <row r="279" spans="1:14" ht="16.5" customHeight="1">
      <c r="A279" s="2"/>
      <c r="N279" s="2"/>
    </row>
    <row r="280" spans="1:14" ht="16.5" customHeight="1">
      <c r="A280" s="2"/>
      <c r="N280" s="2"/>
    </row>
    <row r="281" spans="1:14" ht="16.5" customHeight="1">
      <c r="A281" s="2"/>
      <c r="N281" s="2"/>
    </row>
    <row r="282" spans="1:14" ht="16.5" customHeight="1">
      <c r="A282" s="2"/>
      <c r="N282" s="2"/>
    </row>
    <row r="283" spans="1:14" ht="16.5" customHeight="1">
      <c r="A283" s="2"/>
      <c r="N283" s="2"/>
    </row>
    <row r="284" spans="1:14" ht="16.5" customHeight="1">
      <c r="A284" s="2"/>
      <c r="N284" s="2"/>
    </row>
    <row r="285" spans="1:14" ht="16.5" customHeight="1">
      <c r="A285" s="2"/>
      <c r="N285" s="2"/>
    </row>
    <row r="286" spans="1:14" ht="16.5" customHeight="1">
      <c r="A286" s="2"/>
      <c r="N286" s="2"/>
    </row>
    <row r="287" spans="1:14" ht="16.5" customHeight="1">
      <c r="A287" s="2"/>
      <c r="N287" s="2"/>
    </row>
    <row r="288" spans="1:14" ht="16.5" customHeight="1">
      <c r="A288" s="2"/>
      <c r="N288" s="2"/>
    </row>
    <row r="289" spans="1:14" ht="16.5" customHeight="1">
      <c r="A289" s="2"/>
      <c r="N289" s="2"/>
    </row>
    <row r="290" spans="1:14" ht="16.5" customHeight="1">
      <c r="A290" s="2"/>
      <c r="N290" s="2"/>
    </row>
    <row r="291" spans="1:14" ht="16.5" customHeight="1">
      <c r="A291" s="2"/>
      <c r="N291" s="2"/>
    </row>
    <row r="292" spans="1:14" ht="16.5" customHeight="1">
      <c r="A292" s="2"/>
      <c r="N292" s="2"/>
    </row>
    <row r="293" spans="1:14" ht="16.5" customHeight="1">
      <c r="A293" s="2"/>
      <c r="N293" s="2"/>
    </row>
    <row r="294" spans="1:14" ht="16.5" customHeight="1">
      <c r="A294" s="2"/>
      <c r="N294" s="2"/>
    </row>
    <row r="295" spans="1:14" ht="16.5" customHeight="1">
      <c r="A295" s="2"/>
      <c r="N295" s="2"/>
    </row>
    <row r="296" spans="1:14" ht="16.5" customHeight="1">
      <c r="A296" s="2"/>
      <c r="N296" s="2"/>
    </row>
    <row r="297" spans="1:14" ht="16.5" customHeight="1">
      <c r="A297" s="2"/>
      <c r="N297" s="2"/>
    </row>
    <row r="298" spans="1:14" ht="16.5" customHeight="1">
      <c r="A298" s="2"/>
      <c r="N298" s="2"/>
    </row>
    <row r="299" spans="1:14" ht="16.5" customHeight="1">
      <c r="A299" s="2"/>
      <c r="N299" s="2"/>
    </row>
    <row r="300" spans="1:14" ht="16.5" customHeight="1">
      <c r="A300" s="2"/>
      <c r="N300" s="2"/>
    </row>
    <row r="301" spans="1:14" ht="16.5" customHeight="1">
      <c r="A301" s="2"/>
      <c r="N301" s="2"/>
    </row>
    <row r="302" spans="1:14" ht="16.5" customHeight="1">
      <c r="A302" s="2"/>
      <c r="N302" s="2"/>
    </row>
    <row r="303" spans="1:14" ht="16.5" customHeight="1">
      <c r="A303" s="2"/>
      <c r="N303" s="2"/>
    </row>
    <row r="304" spans="1:14" ht="16.5" customHeight="1">
      <c r="A304" s="2"/>
      <c r="N304" s="2"/>
    </row>
    <row r="305" spans="1:14" ht="16.5" customHeight="1">
      <c r="A305" s="2"/>
      <c r="N305" s="2"/>
    </row>
    <row r="306" spans="1:14" ht="16.5" customHeight="1">
      <c r="A306" s="2"/>
      <c r="N306" s="2"/>
    </row>
    <row r="307" spans="1:14" ht="16.5" customHeight="1">
      <c r="A307" s="2"/>
      <c r="N307" s="2"/>
    </row>
    <row r="308" spans="1:14" ht="16.5" customHeight="1">
      <c r="A308" s="2"/>
      <c r="N308" s="2"/>
    </row>
    <row r="309" spans="1:14" ht="16.5" customHeight="1">
      <c r="A309" s="2"/>
      <c r="N309" s="2"/>
    </row>
    <row r="310" spans="1:14" ht="16.5" customHeight="1">
      <c r="A310" s="2"/>
      <c r="N310" s="2"/>
    </row>
    <row r="311" spans="1:14" ht="16.5" customHeight="1">
      <c r="A311" s="2"/>
      <c r="N311" s="2"/>
    </row>
    <row r="312" spans="1:14" ht="16.5" customHeight="1">
      <c r="A312" s="2"/>
      <c r="N312" s="2"/>
    </row>
    <row r="313" spans="1:14" ht="16.5" customHeight="1">
      <c r="A313" s="2"/>
      <c r="N313" s="2"/>
    </row>
    <row r="314" spans="1:14" ht="16.5" customHeight="1">
      <c r="A314" s="2"/>
      <c r="N314" s="2"/>
    </row>
    <row r="315" spans="1:14" ht="16.5" customHeight="1">
      <c r="A315" s="2"/>
      <c r="N315" s="2"/>
    </row>
    <row r="316" spans="1:14" ht="16.5" customHeight="1">
      <c r="A316" s="2"/>
      <c r="N316" s="2"/>
    </row>
    <row r="317" spans="1:14" ht="16.5" customHeight="1">
      <c r="A317" s="2"/>
      <c r="N317" s="2"/>
    </row>
    <row r="318" spans="1:14" ht="16.5" customHeight="1">
      <c r="A318" s="2"/>
      <c r="N318" s="2"/>
    </row>
    <row r="319" spans="1:14" ht="16.5" customHeight="1">
      <c r="A319" s="2"/>
      <c r="N319" s="2"/>
    </row>
    <row r="320" spans="1:14" ht="16.5" customHeight="1">
      <c r="A320" s="2"/>
      <c r="N320" s="2"/>
    </row>
    <row r="321" spans="1:14" ht="16.5" customHeight="1">
      <c r="A321" s="2"/>
      <c r="N321" s="2"/>
    </row>
    <row r="322" spans="1:14" ht="16.5" customHeight="1">
      <c r="A322" s="2"/>
      <c r="N322" s="2"/>
    </row>
    <row r="323" spans="1:14" ht="16.5" customHeight="1">
      <c r="A323" s="2"/>
      <c r="N323" s="2"/>
    </row>
    <row r="324" spans="1:14" ht="16.5" customHeight="1">
      <c r="A324" s="2"/>
      <c r="N324" s="2"/>
    </row>
    <row r="325" spans="1:14" ht="16.5" customHeight="1">
      <c r="A325" s="2"/>
      <c r="N325" s="2"/>
    </row>
    <row r="326" spans="1:14" ht="16.5" customHeight="1">
      <c r="A326" s="2"/>
      <c r="N326" s="2"/>
    </row>
    <row r="327" spans="1:14" ht="16.5" customHeight="1">
      <c r="A327" s="2"/>
      <c r="N327" s="2"/>
    </row>
    <row r="328" spans="1:14" ht="16.5" customHeight="1">
      <c r="A328" s="2"/>
      <c r="N328" s="2"/>
    </row>
    <row r="329" spans="1:14" ht="16.5" customHeight="1">
      <c r="A329" s="2"/>
      <c r="N329" s="2"/>
    </row>
    <row r="330" spans="1:14" ht="16.5" customHeight="1">
      <c r="A330" s="2"/>
      <c r="N330" s="2"/>
    </row>
    <row r="331" spans="1:14" ht="16.5" customHeight="1">
      <c r="A331" s="2"/>
      <c r="N331" s="2"/>
    </row>
    <row r="332" spans="1:14" ht="16.5" customHeight="1">
      <c r="A332" s="2"/>
      <c r="N332" s="2"/>
    </row>
    <row r="333" spans="1:14" ht="16.5" customHeight="1">
      <c r="A333" s="2"/>
      <c r="N333" s="2"/>
    </row>
    <row r="334" spans="1:14" ht="16.5" customHeight="1">
      <c r="A334" s="2"/>
      <c r="N334" s="2"/>
    </row>
    <row r="335" spans="1:14" ht="16.5" customHeight="1">
      <c r="A335" s="2"/>
      <c r="N335" s="2"/>
    </row>
    <row r="336" spans="1:14" ht="16.5" customHeight="1">
      <c r="A336" s="2"/>
      <c r="N336" s="2"/>
    </row>
    <row r="337" spans="1:14" ht="16.5" customHeight="1">
      <c r="A337" s="2"/>
      <c r="N337" s="2"/>
    </row>
    <row r="338" spans="1:14" ht="16.5" customHeight="1">
      <c r="A338" s="2"/>
      <c r="N338" s="2"/>
    </row>
    <row r="339" spans="1:14" ht="16.5" customHeight="1">
      <c r="A339" s="2"/>
      <c r="N339" s="2"/>
    </row>
    <row r="340" spans="1:14" ht="16.5" customHeight="1">
      <c r="A340" s="2"/>
      <c r="N340" s="2"/>
    </row>
    <row r="341" spans="1:14" ht="16.5" customHeight="1">
      <c r="A341" s="2"/>
      <c r="N341" s="2"/>
    </row>
    <row r="342" spans="1:14" ht="16.5" customHeight="1">
      <c r="A342" s="2"/>
      <c r="N342" s="2"/>
    </row>
    <row r="343" spans="1:14" ht="16.5" customHeight="1">
      <c r="A343" s="2"/>
      <c r="N343" s="2"/>
    </row>
    <row r="344" spans="1:14" ht="16.5" customHeight="1">
      <c r="A344" s="2"/>
      <c r="N344" s="2"/>
    </row>
    <row r="345" spans="1:14" ht="16.5" customHeight="1">
      <c r="A345" s="2"/>
      <c r="N345" s="2"/>
    </row>
    <row r="346" spans="1:14" ht="16.5" customHeight="1">
      <c r="A346" s="2"/>
      <c r="N346" s="2"/>
    </row>
    <row r="347" spans="1:14" ht="16.5" customHeight="1">
      <c r="A347" s="2"/>
      <c r="N347" s="2"/>
    </row>
    <row r="348" spans="1:14" ht="16.5" customHeight="1">
      <c r="A348" s="2"/>
      <c r="N348" s="2"/>
    </row>
    <row r="349" spans="1:14" ht="16.5" customHeight="1">
      <c r="A349" s="2"/>
      <c r="N349" s="2"/>
    </row>
    <row r="350" spans="1:14" ht="16.5" customHeight="1">
      <c r="A350" s="2"/>
      <c r="N350" s="2"/>
    </row>
    <row r="351" spans="1:14" ht="16.5" customHeight="1">
      <c r="A351" s="2"/>
      <c r="N351" s="2"/>
    </row>
    <row r="352" spans="1:14" ht="16.5" customHeight="1">
      <c r="A352" s="2"/>
      <c r="N352" s="2"/>
    </row>
    <row r="353" spans="1:14" ht="16.5" customHeight="1">
      <c r="A353" s="2"/>
      <c r="N353" s="2"/>
    </row>
    <row r="354" spans="1:14" ht="16.5" customHeight="1">
      <c r="A354" s="2"/>
      <c r="N354" s="2"/>
    </row>
    <row r="355" spans="1:14" ht="16.5" customHeight="1">
      <c r="A355" s="2"/>
      <c r="N355" s="2"/>
    </row>
    <row r="356" spans="1:14" ht="16.5" customHeight="1">
      <c r="A356" s="2"/>
      <c r="N356" s="2"/>
    </row>
    <row r="357" spans="1:14" ht="16.5" customHeight="1">
      <c r="A357" s="2"/>
      <c r="N357" s="2"/>
    </row>
    <row r="358" spans="1:14" ht="16.5" customHeight="1">
      <c r="A358" s="2"/>
      <c r="N358" s="2"/>
    </row>
    <row r="359" spans="1:14" ht="16.5" customHeight="1">
      <c r="A359" s="2"/>
      <c r="N359" s="2"/>
    </row>
    <row r="360" spans="1:14" ht="16.5" customHeight="1">
      <c r="A360" s="2"/>
      <c r="N360" s="2"/>
    </row>
    <row r="361" spans="1:14" ht="16.5" customHeight="1">
      <c r="A361" s="2"/>
      <c r="N361" s="2"/>
    </row>
    <row r="362" spans="1:14" ht="16.5" customHeight="1">
      <c r="A362" s="2"/>
      <c r="N362" s="2"/>
    </row>
    <row r="363" spans="1:14" ht="16.5" customHeight="1">
      <c r="A363" s="2"/>
      <c r="N363" s="2"/>
    </row>
    <row r="364" spans="1:14" ht="16.5" customHeight="1">
      <c r="A364" s="2"/>
      <c r="N364" s="2"/>
    </row>
    <row r="365" spans="1:14" ht="16.5" customHeight="1">
      <c r="A365" s="2"/>
      <c r="N365" s="2"/>
    </row>
    <row r="366" spans="1:14" ht="16.5" customHeight="1">
      <c r="A366" s="2"/>
      <c r="N366" s="2"/>
    </row>
    <row r="367" spans="1:14" ht="16.5" customHeight="1">
      <c r="A367" s="2"/>
      <c r="N367" s="2"/>
    </row>
    <row r="368" spans="1:14" ht="16.5" customHeight="1">
      <c r="A368" s="2"/>
      <c r="N368" s="2"/>
    </row>
    <row r="369" spans="1:14" ht="16.5" customHeight="1">
      <c r="A369" s="2"/>
      <c r="N369" s="2"/>
    </row>
    <row r="370" spans="1:14" ht="16.5" customHeight="1">
      <c r="A370" s="2"/>
      <c r="N370" s="2"/>
    </row>
    <row r="371" spans="1:14" ht="16.5" customHeight="1">
      <c r="A371" s="2"/>
      <c r="N371" s="2"/>
    </row>
    <row r="372" spans="1:14" ht="16.5" customHeight="1">
      <c r="A372" s="2"/>
      <c r="N372" s="2"/>
    </row>
    <row r="373" spans="1:14" ht="16.5" customHeight="1">
      <c r="A373" s="2"/>
      <c r="N373" s="2"/>
    </row>
    <row r="374" spans="1:14" ht="16.5" customHeight="1">
      <c r="A374" s="2"/>
      <c r="N374" s="2"/>
    </row>
    <row r="375" spans="1:14" ht="16.5" customHeight="1">
      <c r="A375" s="2"/>
      <c r="N375" s="2"/>
    </row>
    <row r="376" spans="1:14" ht="16.5" customHeight="1">
      <c r="A376" s="2"/>
      <c r="N376" s="2"/>
    </row>
    <row r="377" spans="1:14" ht="16.5" customHeight="1">
      <c r="A377" s="2"/>
      <c r="N377" s="2"/>
    </row>
    <row r="378" spans="1:14" ht="16.5" customHeight="1">
      <c r="A378" s="2"/>
      <c r="N378" s="2"/>
    </row>
    <row r="379" spans="1:14" ht="16.5" customHeight="1">
      <c r="A379" s="2"/>
      <c r="N379" s="2"/>
    </row>
    <row r="380" spans="1:14" ht="16.5" customHeight="1">
      <c r="A380" s="2"/>
      <c r="N380" s="2"/>
    </row>
    <row r="381" spans="1:14" ht="16.5" customHeight="1">
      <c r="A381" s="2"/>
      <c r="N381" s="2"/>
    </row>
    <row r="382" spans="1:14" ht="16.5" customHeight="1">
      <c r="A382" s="2"/>
      <c r="N382" s="2"/>
    </row>
    <row r="383" spans="1:14" ht="16.5" customHeight="1">
      <c r="A383" s="2"/>
      <c r="N383" s="2"/>
    </row>
    <row r="384" spans="1:14" ht="16.5" customHeight="1">
      <c r="A384" s="2"/>
      <c r="N384" s="2"/>
    </row>
    <row r="385" spans="1:14" ht="16.5" customHeight="1">
      <c r="A385" s="2"/>
      <c r="N385" s="2"/>
    </row>
    <row r="386" spans="1:14" ht="16.5" customHeight="1">
      <c r="A386" s="2"/>
      <c r="N386" s="2"/>
    </row>
    <row r="387" spans="1:14" ht="16.5" customHeight="1">
      <c r="A387" s="2"/>
      <c r="N387" s="2"/>
    </row>
    <row r="388" spans="1:14" ht="16.5" customHeight="1">
      <c r="A388" s="2"/>
      <c r="N388" s="2"/>
    </row>
    <row r="389" spans="1:14" ht="16.5" customHeight="1">
      <c r="A389" s="2"/>
      <c r="N389" s="2"/>
    </row>
    <row r="390" spans="1:14" ht="16.5" customHeight="1">
      <c r="A390" s="2"/>
      <c r="N390" s="2"/>
    </row>
    <row r="391" spans="1:14" ht="16.5" customHeight="1">
      <c r="A391" s="2"/>
      <c r="N391" s="2"/>
    </row>
    <row r="392" spans="1:14" ht="16.5" customHeight="1">
      <c r="A392" s="2"/>
      <c r="N392" s="2"/>
    </row>
    <row r="393" spans="1:14" ht="16.5" customHeight="1">
      <c r="A393" s="2"/>
      <c r="N393" s="2"/>
    </row>
    <row r="394" spans="1:14" ht="16.5" customHeight="1">
      <c r="A394" s="2"/>
      <c r="N394" s="2"/>
    </row>
    <row r="395" spans="1:14" ht="16.5" customHeight="1">
      <c r="A395" s="2"/>
      <c r="N395" s="2"/>
    </row>
    <row r="396" spans="1:14" ht="16.5" customHeight="1">
      <c r="A396" s="2"/>
      <c r="N396" s="2"/>
    </row>
    <row r="397" spans="1:14" ht="16.5" customHeight="1">
      <c r="A397" s="2"/>
      <c r="N397" s="2"/>
    </row>
    <row r="398" spans="1:14" ht="16.5" customHeight="1">
      <c r="A398" s="2"/>
      <c r="N398" s="2"/>
    </row>
    <row r="399" spans="1:14" ht="16.5" customHeight="1">
      <c r="A399" s="2"/>
      <c r="N399" s="2"/>
    </row>
    <row r="400" spans="1:14" ht="16.5" customHeight="1">
      <c r="A400" s="2"/>
      <c r="N400" s="2"/>
    </row>
    <row r="401" spans="1:14" ht="16.5" customHeight="1">
      <c r="A401" s="2"/>
      <c r="N401" s="2"/>
    </row>
    <row r="402" spans="1:14" ht="16.5" customHeight="1">
      <c r="A402" s="2"/>
      <c r="N402" s="2"/>
    </row>
    <row r="403" spans="1:14" ht="16.5" customHeight="1">
      <c r="A403" s="2"/>
      <c r="N403" s="2"/>
    </row>
    <row r="404" spans="1:14" ht="16.5" customHeight="1">
      <c r="A404" s="2"/>
      <c r="N404" s="2"/>
    </row>
    <row r="405" spans="1:14" ht="16.5" customHeight="1">
      <c r="A405" s="2"/>
      <c r="N405" s="2"/>
    </row>
    <row r="406" spans="1:14" ht="16.5" customHeight="1">
      <c r="A406" s="2"/>
      <c r="N406" s="2"/>
    </row>
    <row r="407" spans="1:14" ht="16.5" customHeight="1">
      <c r="A407" s="2"/>
      <c r="N407" s="2"/>
    </row>
    <row r="408" spans="1:14" ht="16.5" customHeight="1">
      <c r="A408" s="2"/>
      <c r="N408" s="2"/>
    </row>
    <row r="409" spans="1:14" ht="16.5" customHeight="1">
      <c r="A409" s="2"/>
      <c r="N409" s="2"/>
    </row>
    <row r="410" spans="1:14" ht="16.5" customHeight="1">
      <c r="A410" s="2"/>
      <c r="N410" s="2"/>
    </row>
    <row r="411" spans="1:14" ht="16.5" customHeight="1">
      <c r="A411" s="2"/>
      <c r="N411" s="2"/>
    </row>
    <row r="412" spans="1:14" ht="16.5" customHeight="1">
      <c r="A412" s="2"/>
      <c r="N412" s="2"/>
    </row>
    <row r="413" spans="1:14" ht="16.5" customHeight="1">
      <c r="A413" s="2"/>
      <c r="N413" s="2"/>
    </row>
    <row r="414" spans="1:14" ht="16.5" customHeight="1">
      <c r="A414" s="2"/>
      <c r="N414" s="2"/>
    </row>
    <row r="415" spans="1:14" ht="16.5" customHeight="1">
      <c r="A415" s="2"/>
      <c r="N415" s="2"/>
    </row>
    <row r="416" spans="1:14" ht="16.5" customHeight="1">
      <c r="A416" s="2"/>
      <c r="N416" s="2"/>
    </row>
    <row r="417" spans="1:14" ht="16.5" customHeight="1">
      <c r="A417" s="2"/>
      <c r="N417" s="2"/>
    </row>
    <row r="418" spans="1:14" ht="16.5" customHeight="1">
      <c r="A418" s="2"/>
      <c r="N418" s="2"/>
    </row>
    <row r="419" spans="1:14" ht="16.5" customHeight="1">
      <c r="A419" s="2"/>
      <c r="N419" s="2"/>
    </row>
    <row r="420" spans="1:14" ht="16.5" customHeight="1">
      <c r="A420" s="2"/>
      <c r="N420" s="2"/>
    </row>
    <row r="421" spans="1:14" ht="16.5" customHeight="1">
      <c r="A421" s="2"/>
      <c r="N421" s="2"/>
    </row>
    <row r="422" spans="1:14" ht="16.5" customHeight="1">
      <c r="A422" s="2"/>
      <c r="N422" s="2"/>
    </row>
    <row r="423" spans="1:14" ht="16.5" customHeight="1">
      <c r="A423" s="2"/>
      <c r="N423" s="2"/>
    </row>
    <row r="424" spans="1:14" ht="16.5" customHeight="1">
      <c r="A424" s="2"/>
      <c r="N424" s="2"/>
    </row>
    <row r="425" spans="1:14" ht="16.5" customHeight="1">
      <c r="A425" s="2"/>
      <c r="N425" s="2"/>
    </row>
    <row r="426" spans="1:14" ht="16.5" customHeight="1">
      <c r="A426" s="2"/>
      <c r="N426" s="2"/>
    </row>
    <row r="427" spans="1:14" ht="16.5" customHeight="1">
      <c r="A427" s="2"/>
      <c r="N427" s="2"/>
    </row>
    <row r="428" spans="1:14" ht="16.5" customHeight="1">
      <c r="A428" s="2"/>
      <c r="N428" s="2"/>
    </row>
    <row r="429" spans="1:14" ht="16.5" customHeight="1">
      <c r="A429" s="2"/>
      <c r="N429" s="2"/>
    </row>
    <row r="430" spans="1:14" ht="16.5" customHeight="1">
      <c r="A430" s="2"/>
      <c r="N430" s="2"/>
    </row>
    <row r="431" spans="1:14" ht="16.5" customHeight="1">
      <c r="A431" s="2"/>
      <c r="N431" s="2"/>
    </row>
    <row r="432" spans="1:14" ht="16.5" customHeight="1">
      <c r="A432" s="2"/>
      <c r="N432" s="2"/>
    </row>
    <row r="433" spans="1:14" ht="16.5" customHeight="1">
      <c r="A433" s="2"/>
      <c r="N433" s="2"/>
    </row>
    <row r="434" spans="1:14" ht="16.5" customHeight="1">
      <c r="A434" s="2"/>
      <c r="N434" s="2"/>
    </row>
    <row r="435" spans="1:14" ht="16.5" customHeight="1">
      <c r="A435" s="2"/>
      <c r="N435" s="2"/>
    </row>
    <row r="436" spans="1:14" ht="16.5" customHeight="1">
      <c r="A436" s="2"/>
      <c r="N436" s="2"/>
    </row>
    <row r="437" spans="1:14" ht="16.5" customHeight="1">
      <c r="A437" s="2"/>
      <c r="N437" s="2"/>
    </row>
    <row r="438" spans="1:14" ht="16.5" customHeight="1">
      <c r="A438" s="2"/>
      <c r="N438" s="2"/>
    </row>
    <row r="439" spans="1:14" ht="16.5" customHeight="1">
      <c r="A439" s="2"/>
      <c r="N439" s="2"/>
    </row>
    <row r="440" spans="1:14" ht="16.5" customHeight="1">
      <c r="A440" s="2"/>
      <c r="N440" s="2"/>
    </row>
    <row r="441" spans="1:14" ht="16.5" customHeight="1">
      <c r="A441" s="2"/>
      <c r="N441" s="2"/>
    </row>
    <row r="442" spans="1:14" ht="16.5" customHeight="1">
      <c r="A442" s="2"/>
      <c r="N442" s="2"/>
    </row>
    <row r="443" spans="1:14" ht="16.5" customHeight="1">
      <c r="A443" s="2"/>
      <c r="N443" s="2"/>
    </row>
    <row r="444" spans="1:14" ht="16.5" customHeight="1">
      <c r="A444" s="2"/>
      <c r="N444" s="2"/>
    </row>
    <row r="445" spans="1:14" ht="16.5" customHeight="1">
      <c r="A445" s="2"/>
      <c r="N445" s="2"/>
    </row>
    <row r="446" spans="1:14" ht="16.5" customHeight="1">
      <c r="A446" s="2"/>
      <c r="N446" s="2"/>
    </row>
    <row r="447" spans="1:14" ht="16.5" customHeight="1">
      <c r="A447" s="2"/>
      <c r="N447" s="2"/>
    </row>
    <row r="448" spans="1:14" ht="16.5" customHeight="1">
      <c r="A448" s="2"/>
      <c r="N448" s="2"/>
    </row>
    <row r="449" spans="1:14" ht="16.5" customHeight="1">
      <c r="A449" s="2"/>
      <c r="N449" s="2"/>
    </row>
    <row r="450" spans="1:14" ht="16.5" customHeight="1">
      <c r="A450" s="2"/>
      <c r="N450" s="2"/>
    </row>
    <row r="451" spans="1:14" ht="16.5" customHeight="1">
      <c r="A451" s="2"/>
      <c r="N451" s="2"/>
    </row>
    <row r="452" spans="1:14" ht="16.5" customHeight="1">
      <c r="A452" s="2"/>
      <c r="N452" s="2"/>
    </row>
    <row r="453" spans="1:14" ht="16.5" customHeight="1">
      <c r="A453" s="2"/>
      <c r="N453" s="2"/>
    </row>
    <row r="454" spans="1:14" ht="16.5" customHeight="1">
      <c r="A454" s="2"/>
      <c r="N454" s="2"/>
    </row>
    <row r="455" spans="1:14" ht="16.5" customHeight="1">
      <c r="A455" s="2"/>
      <c r="N455" s="2"/>
    </row>
    <row r="456" spans="1:14" ht="16.5" customHeight="1">
      <c r="A456" s="2"/>
      <c r="N456" s="2"/>
    </row>
    <row r="457" spans="1:14" ht="16.5" customHeight="1">
      <c r="A457" s="2"/>
      <c r="N457" s="2"/>
    </row>
    <row r="458" spans="1:14" ht="16.5" customHeight="1">
      <c r="A458" s="2"/>
      <c r="N458" s="2"/>
    </row>
    <row r="459" spans="1:14" ht="16.5" customHeight="1">
      <c r="A459" s="2"/>
      <c r="N459" s="2"/>
    </row>
    <row r="460" spans="1:14" ht="16.5" customHeight="1">
      <c r="A460" s="2"/>
      <c r="N460" s="2"/>
    </row>
    <row r="461" spans="1:14" ht="16.5" customHeight="1">
      <c r="A461" s="2"/>
      <c r="N461" s="2"/>
    </row>
    <row r="462" spans="1:14" ht="16.5" customHeight="1">
      <c r="A462" s="2"/>
      <c r="N462" s="2"/>
    </row>
    <row r="463" spans="1:14" ht="16.5" customHeight="1">
      <c r="A463" s="2"/>
      <c r="N463" s="2"/>
    </row>
    <row r="464" spans="1:14" ht="16.5" customHeight="1">
      <c r="A464" s="2"/>
      <c r="N464" s="2"/>
    </row>
    <row r="465" spans="1:14" ht="16.5" customHeight="1">
      <c r="A465" s="2"/>
      <c r="N465" s="2"/>
    </row>
    <row r="466" spans="1:14" ht="16.5" customHeight="1">
      <c r="A466" s="2"/>
      <c r="N466" s="2"/>
    </row>
    <row r="467" spans="1:14" ht="16.5" customHeight="1">
      <c r="A467" s="2"/>
      <c r="N467" s="2"/>
    </row>
    <row r="468" spans="1:14" ht="16.5" customHeight="1">
      <c r="A468" s="2"/>
      <c r="N468" s="2"/>
    </row>
    <row r="469" spans="1:14" ht="16.5" customHeight="1">
      <c r="A469" s="2"/>
      <c r="N469" s="2"/>
    </row>
    <row r="470" spans="1:14" ht="16.5" customHeight="1">
      <c r="A470" s="2"/>
      <c r="N470" s="2"/>
    </row>
    <row r="471" spans="1:14" ht="16.5" customHeight="1">
      <c r="A471" s="2"/>
      <c r="N471" s="2"/>
    </row>
    <row r="472" spans="1:14" ht="16.5" customHeight="1">
      <c r="A472" s="2"/>
      <c r="N472" s="2"/>
    </row>
    <row r="473" spans="1:14" ht="16.5" customHeight="1">
      <c r="A473" s="2"/>
      <c r="N473" s="2"/>
    </row>
    <row r="474" spans="1:14" ht="16.5" customHeight="1">
      <c r="A474" s="2"/>
      <c r="N474" s="2"/>
    </row>
    <row r="475" spans="1:14" ht="16.5" customHeight="1">
      <c r="A475" s="2"/>
      <c r="N475" s="2"/>
    </row>
    <row r="476" spans="1:14" ht="16.5" customHeight="1">
      <c r="A476" s="2"/>
      <c r="N476" s="2"/>
    </row>
    <row r="477" spans="1:14" ht="16.5" customHeight="1">
      <c r="A477" s="2"/>
      <c r="N477" s="2"/>
    </row>
    <row r="478" spans="1:14" ht="16.5" customHeight="1">
      <c r="A478" s="2"/>
      <c r="N478" s="2"/>
    </row>
    <row r="479" spans="1:14" ht="16.5" customHeight="1">
      <c r="A479" s="2"/>
      <c r="N479" s="2"/>
    </row>
    <row r="480" spans="1:14" ht="16.5" customHeight="1">
      <c r="A480" s="2"/>
      <c r="N480" s="2"/>
    </row>
    <row r="481" spans="1:14" ht="16.5" customHeight="1">
      <c r="A481" s="2"/>
      <c r="N481" s="2"/>
    </row>
    <row r="482" spans="1:14" ht="16.5" customHeight="1">
      <c r="A482" s="2"/>
      <c r="N482" s="2"/>
    </row>
    <row r="483" spans="1:14" ht="16.5" customHeight="1">
      <c r="A483" s="2"/>
      <c r="N483" s="2"/>
    </row>
    <row r="484" spans="1:14" ht="16.5" customHeight="1">
      <c r="A484" s="2"/>
      <c r="N484" s="2"/>
    </row>
    <row r="485" spans="1:14" ht="16.5" customHeight="1">
      <c r="A485" s="2"/>
      <c r="N485" s="2"/>
    </row>
    <row r="486" spans="1:14" ht="16.5" customHeight="1">
      <c r="A486" s="2"/>
      <c r="N486" s="2"/>
    </row>
    <row r="487" spans="1:14" ht="16.5" customHeight="1">
      <c r="A487" s="2"/>
      <c r="N487" s="2"/>
    </row>
    <row r="488" spans="1:14" ht="16.5" customHeight="1">
      <c r="A488" s="2"/>
      <c r="N488" s="2"/>
    </row>
    <row r="489" spans="1:14" ht="16.5" customHeight="1">
      <c r="A489" s="2"/>
      <c r="N489" s="2"/>
    </row>
    <row r="490" spans="1:14" ht="16.5" customHeight="1">
      <c r="A490" s="2"/>
      <c r="N490" s="2"/>
    </row>
    <row r="491" spans="1:14" ht="16.5" customHeight="1">
      <c r="A491" s="2"/>
      <c r="N491" s="2"/>
    </row>
    <row r="492" spans="1:14" ht="16.5" customHeight="1">
      <c r="A492" s="2"/>
      <c r="N492" s="2"/>
    </row>
    <row r="493" spans="1:14" ht="16.5" customHeight="1">
      <c r="A493" s="2"/>
      <c r="N493" s="2"/>
    </row>
    <row r="494" spans="1:14" ht="16.5" customHeight="1">
      <c r="A494" s="2"/>
      <c r="N494" s="2"/>
    </row>
    <row r="495" spans="1:14" ht="16.5" customHeight="1">
      <c r="A495" s="2"/>
      <c r="N495" s="2"/>
    </row>
    <row r="496" spans="1:14" ht="16.5" customHeight="1">
      <c r="A496" s="2"/>
      <c r="N496" s="2"/>
    </row>
    <row r="497" spans="1:14" ht="16.5" customHeight="1">
      <c r="A497" s="2"/>
      <c r="N497" s="2"/>
    </row>
    <row r="498" spans="1:14" ht="16.5" customHeight="1">
      <c r="A498" s="2"/>
      <c r="N498" s="2"/>
    </row>
    <row r="499" spans="1:14" ht="16.5" customHeight="1">
      <c r="A499" s="2"/>
      <c r="N499" s="2"/>
    </row>
    <row r="500" spans="1:14" ht="16.5" customHeight="1">
      <c r="A500" s="2"/>
      <c r="N500" s="2"/>
    </row>
    <row r="501" spans="1:14" ht="16.5" customHeight="1">
      <c r="A501" s="2"/>
      <c r="N501" s="2"/>
    </row>
    <row r="502" spans="1:14" ht="16.5" customHeight="1">
      <c r="A502" s="2"/>
      <c r="N502" s="2"/>
    </row>
    <row r="503" spans="1:14" ht="16.5" customHeight="1">
      <c r="A503" s="2"/>
      <c r="N503" s="2"/>
    </row>
    <row r="504" spans="1:14" ht="16.5" customHeight="1">
      <c r="A504" s="2"/>
      <c r="N504" s="2"/>
    </row>
    <row r="505" spans="1:14" ht="16.5" customHeight="1">
      <c r="A505" s="2"/>
      <c r="N505" s="2"/>
    </row>
    <row r="506" spans="1:14" ht="16.5" customHeight="1">
      <c r="A506" s="2"/>
      <c r="N506" s="2"/>
    </row>
    <row r="507" spans="1:14" ht="16.5" customHeight="1">
      <c r="A507" s="2"/>
      <c r="N507" s="2"/>
    </row>
    <row r="508" spans="1:14" ht="16.5" customHeight="1">
      <c r="A508" s="2"/>
      <c r="N508" s="2"/>
    </row>
    <row r="509" spans="1:14" ht="16.5" customHeight="1">
      <c r="A509" s="2"/>
      <c r="N509" s="2"/>
    </row>
    <row r="510" spans="1:14" ht="16.5" customHeight="1">
      <c r="A510" s="2"/>
      <c r="N510" s="2"/>
    </row>
    <row r="511" spans="1:14" ht="16.5" customHeight="1">
      <c r="A511" s="2"/>
      <c r="N511" s="2"/>
    </row>
    <row r="512" spans="1:14" ht="16.5" customHeight="1">
      <c r="A512" s="2"/>
      <c r="N512" s="2"/>
    </row>
    <row r="513" spans="1:14" ht="16.5" customHeight="1">
      <c r="A513" s="2"/>
      <c r="N513" s="2"/>
    </row>
    <row r="514" spans="1:14" ht="16.5" customHeight="1">
      <c r="A514" s="2"/>
      <c r="N514" s="2"/>
    </row>
    <row r="515" spans="1:14" ht="16.5" customHeight="1">
      <c r="A515" s="2"/>
      <c r="N515" s="2"/>
    </row>
    <row r="516" spans="1:14" ht="16.5" customHeight="1">
      <c r="A516" s="2"/>
      <c r="N516" s="2"/>
    </row>
    <row r="517" spans="1:14" ht="16.5" customHeight="1">
      <c r="A517" s="2"/>
      <c r="N517" s="2"/>
    </row>
    <row r="518" spans="1:14" ht="16.5" customHeight="1">
      <c r="A518" s="2"/>
      <c r="N518" s="2"/>
    </row>
    <row r="519" spans="1:14" ht="16.5" customHeight="1">
      <c r="A519" s="2"/>
      <c r="N519" s="2"/>
    </row>
    <row r="520" spans="1:14" ht="16.5" customHeight="1">
      <c r="A520" s="2"/>
      <c r="N520" s="2"/>
    </row>
    <row r="521" spans="1:14" ht="16.5" customHeight="1">
      <c r="A521" s="2"/>
      <c r="N521" s="2"/>
    </row>
    <row r="522" spans="1:14" ht="16.5" customHeight="1">
      <c r="A522" s="2"/>
      <c r="N522" s="2"/>
    </row>
    <row r="523" spans="1:14" ht="16.5" customHeight="1">
      <c r="A523" s="2"/>
      <c r="N523" s="2"/>
    </row>
    <row r="524" spans="1:14" ht="16.5" customHeight="1">
      <c r="A524" s="2"/>
      <c r="N524" s="2"/>
    </row>
    <row r="525" spans="1:14" ht="16.5" customHeight="1">
      <c r="A525" s="2"/>
      <c r="N525" s="2"/>
    </row>
    <row r="526" spans="1:14" ht="16.5" customHeight="1">
      <c r="A526" s="2"/>
      <c r="N526" s="2"/>
    </row>
    <row r="527" spans="1:14" ht="16.5" customHeight="1">
      <c r="A527" s="2"/>
      <c r="N527" s="2"/>
    </row>
    <row r="528" spans="1:14" ht="16.5" customHeight="1">
      <c r="A528" s="2"/>
      <c r="N528" s="2"/>
    </row>
    <row r="529" spans="1:14" ht="16.5" customHeight="1">
      <c r="A529" s="2"/>
      <c r="N529" s="2"/>
    </row>
    <row r="530" spans="1:14" ht="16.5" customHeight="1">
      <c r="A530" s="2"/>
      <c r="N530" s="2"/>
    </row>
    <row r="531" spans="1:14" ht="16.5" customHeight="1">
      <c r="A531" s="2"/>
      <c r="N531" s="2"/>
    </row>
    <row r="532" spans="1:14" ht="16.5" customHeight="1">
      <c r="A532" s="2"/>
      <c r="N532" s="2"/>
    </row>
    <row r="533" spans="1:14" ht="16.5" customHeight="1">
      <c r="A533" s="2"/>
      <c r="N533" s="2"/>
    </row>
    <row r="534" spans="1:14" ht="16.5" customHeight="1">
      <c r="A534" s="2"/>
      <c r="N534" s="2"/>
    </row>
    <row r="535" spans="1:14" ht="16.5" customHeight="1">
      <c r="A535" s="2"/>
      <c r="N535" s="2"/>
    </row>
    <row r="536" spans="1:14" ht="16.5" customHeight="1">
      <c r="A536" s="2"/>
      <c r="N536" s="2"/>
    </row>
    <row r="537" spans="1:14" ht="16.5" customHeight="1">
      <c r="A537" s="2"/>
      <c r="N537" s="2"/>
    </row>
    <row r="538" spans="1:14" ht="16.5" customHeight="1">
      <c r="A538" s="2"/>
      <c r="N538" s="2"/>
    </row>
    <row r="539" spans="1:14" ht="16.5" customHeight="1">
      <c r="A539" s="2"/>
      <c r="N539" s="2"/>
    </row>
    <row r="540" spans="1:14" ht="16.5" customHeight="1">
      <c r="A540" s="2"/>
      <c r="N540" s="2"/>
    </row>
    <row r="541" spans="1:14" ht="16.5" customHeight="1">
      <c r="A541" s="2"/>
      <c r="N541" s="2"/>
    </row>
    <row r="542" spans="1:14" ht="16.5" customHeight="1">
      <c r="A542" s="2"/>
      <c r="N542" s="2"/>
    </row>
    <row r="543" spans="1:14" ht="16.5" customHeight="1">
      <c r="A543" s="2"/>
      <c r="N543" s="2"/>
    </row>
    <row r="544" spans="1:14" ht="16.5" customHeight="1">
      <c r="A544" s="2"/>
      <c r="N544" s="2"/>
    </row>
    <row r="545" spans="1:14" ht="16.5" customHeight="1">
      <c r="A545" s="2"/>
      <c r="N545" s="2"/>
    </row>
    <row r="546" spans="1:14" ht="16.5" customHeight="1">
      <c r="A546" s="2"/>
      <c r="N546" s="2"/>
    </row>
    <row r="547" spans="1:14" ht="16.5" customHeight="1">
      <c r="A547" s="2"/>
      <c r="N547" s="2"/>
    </row>
    <row r="548" spans="1:14" ht="16.5" customHeight="1">
      <c r="A548" s="2"/>
      <c r="N548" s="2"/>
    </row>
    <row r="549" spans="1:14" ht="16.5" customHeight="1">
      <c r="A549" s="2"/>
      <c r="N549" s="2"/>
    </row>
    <row r="550" spans="1:14" ht="16.5" customHeight="1">
      <c r="A550" s="2"/>
      <c r="N550" s="2"/>
    </row>
    <row r="551" spans="1:14" ht="16.5" customHeight="1">
      <c r="A551" s="2"/>
      <c r="N551" s="2"/>
    </row>
    <row r="552" spans="1:14" ht="16.5" customHeight="1">
      <c r="A552" s="2"/>
      <c r="N552" s="2"/>
    </row>
    <row r="553" spans="1:14" ht="16.5" customHeight="1">
      <c r="A553" s="2"/>
      <c r="N553" s="2"/>
    </row>
    <row r="554" spans="1:14" ht="16.5" customHeight="1">
      <c r="A554" s="2"/>
      <c r="N554" s="2"/>
    </row>
    <row r="555" spans="1:14" ht="16.5" customHeight="1">
      <c r="A555" s="2"/>
      <c r="N555" s="2"/>
    </row>
    <row r="556" spans="1:14" ht="16.5" customHeight="1">
      <c r="A556" s="2"/>
      <c r="N556" s="2"/>
    </row>
    <row r="557" spans="1:14" ht="16.5" customHeight="1">
      <c r="A557" s="2"/>
      <c r="N557" s="2"/>
    </row>
    <row r="558" spans="1:14" ht="16.5" customHeight="1">
      <c r="A558" s="2"/>
      <c r="N558" s="2"/>
    </row>
    <row r="559" spans="1:14" ht="16.5" customHeight="1">
      <c r="A559" s="2"/>
      <c r="N559" s="2"/>
    </row>
    <row r="560" spans="1:14" ht="16.5" customHeight="1">
      <c r="A560" s="2"/>
      <c r="N560" s="2"/>
    </row>
    <row r="561" spans="1:14" ht="16.5" customHeight="1">
      <c r="A561" s="2"/>
      <c r="N561" s="2"/>
    </row>
    <row r="562" spans="1:14" ht="16.5" customHeight="1">
      <c r="A562" s="2"/>
      <c r="N562" s="2"/>
    </row>
    <row r="563" spans="1:14" ht="16.5" customHeight="1">
      <c r="A563" s="2"/>
      <c r="N563" s="2"/>
    </row>
    <row r="564" spans="1:14" ht="16.5" customHeight="1">
      <c r="A564" s="2"/>
      <c r="N564" s="2"/>
    </row>
    <row r="565" spans="1:14" ht="16.5" customHeight="1">
      <c r="A565" s="2"/>
      <c r="N565" s="2"/>
    </row>
    <row r="566" spans="1:14" ht="16.5" customHeight="1">
      <c r="A566" s="2"/>
      <c r="N566" s="2"/>
    </row>
    <row r="567" spans="1:14" ht="16.5" customHeight="1">
      <c r="A567" s="2"/>
      <c r="N567" s="2"/>
    </row>
    <row r="568" spans="1:14" ht="16.5" customHeight="1">
      <c r="A568" s="2"/>
      <c r="N568" s="2"/>
    </row>
    <row r="569" spans="1:14" ht="16.5" customHeight="1">
      <c r="A569" s="2"/>
      <c r="N569" s="2"/>
    </row>
    <row r="570" spans="1:14" ht="16.5" customHeight="1">
      <c r="A570" s="2"/>
      <c r="N570" s="2"/>
    </row>
    <row r="571" spans="1:14" ht="16.5" customHeight="1">
      <c r="A571" s="2"/>
      <c r="N571" s="2"/>
    </row>
    <row r="572" spans="1:14" ht="16.5" customHeight="1">
      <c r="A572" s="2"/>
      <c r="N572" s="2"/>
    </row>
    <row r="573" spans="1:14" ht="16.5" customHeight="1">
      <c r="A573" s="2"/>
      <c r="N573" s="2"/>
    </row>
    <row r="574" spans="1:14" ht="16.5" customHeight="1">
      <c r="A574" s="2"/>
      <c r="N574" s="2"/>
    </row>
    <row r="575" spans="1:14" ht="16.5" customHeight="1">
      <c r="A575" s="2"/>
      <c r="N575" s="2"/>
    </row>
    <row r="576" spans="1:14" ht="16.5" customHeight="1">
      <c r="A576" s="2"/>
      <c r="N576" s="2"/>
    </row>
    <row r="577" spans="1:14" ht="16.5" customHeight="1">
      <c r="A577" s="2"/>
      <c r="N577" s="2"/>
    </row>
    <row r="578" spans="1:14" ht="16.5" customHeight="1">
      <c r="A578" s="2"/>
      <c r="N578" s="2"/>
    </row>
    <row r="579" spans="1:14" ht="16.5" customHeight="1">
      <c r="A579" s="2"/>
      <c r="N579" s="2"/>
    </row>
    <row r="580" spans="1:14" ht="16.5" customHeight="1">
      <c r="A580" s="2"/>
      <c r="N580" s="2"/>
    </row>
    <row r="581" spans="1:14" ht="16.5" customHeight="1">
      <c r="A581" s="2"/>
      <c r="N581" s="2"/>
    </row>
    <row r="582" spans="1:14" ht="16.5" customHeight="1">
      <c r="A582" s="2"/>
      <c r="N582" s="2"/>
    </row>
    <row r="583" spans="1:14" ht="16.5" customHeight="1">
      <c r="A583" s="2"/>
      <c r="N583" s="2"/>
    </row>
    <row r="584" spans="1:14" ht="16.5" customHeight="1">
      <c r="A584" s="2"/>
      <c r="N584" s="2"/>
    </row>
    <row r="585" spans="1:14" ht="16.5" customHeight="1">
      <c r="A585" s="2"/>
      <c r="N585" s="2"/>
    </row>
    <row r="586" spans="1:14" ht="16.5" customHeight="1">
      <c r="A586" s="2"/>
      <c r="N586" s="2"/>
    </row>
    <row r="587" spans="1:14" ht="16.5" customHeight="1">
      <c r="A587" s="2"/>
      <c r="N587" s="2"/>
    </row>
    <row r="588" spans="1:14" ht="16.5" customHeight="1">
      <c r="A588" s="2"/>
      <c r="N588" s="2"/>
    </row>
    <row r="589" spans="1:14" ht="16.5" customHeight="1">
      <c r="A589" s="2"/>
      <c r="N589" s="2"/>
    </row>
    <row r="590" spans="1:14" ht="16.5" customHeight="1">
      <c r="A590" s="2"/>
      <c r="N590" s="2"/>
    </row>
    <row r="591" spans="1:14" ht="16.5" customHeight="1">
      <c r="A591" s="2"/>
      <c r="N591" s="2"/>
    </row>
    <row r="592" spans="1:14" ht="16.5" customHeight="1">
      <c r="A592" s="2"/>
      <c r="N592" s="2"/>
    </row>
    <row r="593" spans="1:14" ht="16.5" customHeight="1">
      <c r="A593" s="2"/>
      <c r="N593" s="2"/>
    </row>
    <row r="594" spans="1:14" ht="16.5" customHeight="1">
      <c r="A594" s="2"/>
      <c r="N594" s="2"/>
    </row>
    <row r="595" spans="1:14" ht="16.5" customHeight="1">
      <c r="A595" s="2"/>
      <c r="N595" s="2"/>
    </row>
    <row r="596" spans="1:14" ht="16.5" customHeight="1">
      <c r="A596" s="2"/>
      <c r="N596" s="2"/>
    </row>
    <row r="597" spans="1:14" ht="16.5" customHeight="1">
      <c r="A597" s="2"/>
      <c r="N597" s="2"/>
    </row>
    <row r="598" spans="1:14" ht="16.5" customHeight="1">
      <c r="A598" s="2"/>
      <c r="N598" s="2"/>
    </row>
    <row r="599" spans="1:14" ht="16.5" customHeight="1">
      <c r="A599" s="2"/>
      <c r="N599" s="2"/>
    </row>
    <row r="600" spans="1:14" ht="16.5" customHeight="1">
      <c r="A600" s="2"/>
      <c r="N600" s="2"/>
    </row>
    <row r="601" spans="1:14" ht="16.5" customHeight="1">
      <c r="A601" s="2"/>
      <c r="N601" s="2"/>
    </row>
    <row r="602" spans="1:14" ht="16.5" customHeight="1">
      <c r="A602" s="2"/>
      <c r="N602" s="2"/>
    </row>
    <row r="603" spans="1:14" ht="16.5" customHeight="1">
      <c r="A603" s="2"/>
      <c r="N603" s="2"/>
    </row>
    <row r="604" spans="1:14" ht="16.5" customHeight="1">
      <c r="A604" s="2"/>
      <c r="N604" s="2"/>
    </row>
    <row r="605" spans="1:14" ht="16.5" customHeight="1">
      <c r="A605" s="2"/>
      <c r="N605" s="2"/>
    </row>
    <row r="606" spans="1:14" ht="16.5" customHeight="1">
      <c r="A606" s="2"/>
      <c r="N606" s="2"/>
    </row>
    <row r="607" spans="1:14" ht="16.5" customHeight="1">
      <c r="A607" s="2"/>
      <c r="N607" s="2"/>
    </row>
    <row r="608" spans="1:14" ht="16.5" customHeight="1">
      <c r="A608" s="2"/>
      <c r="N608" s="2"/>
    </row>
    <row r="609" spans="1:14" ht="16.5" customHeight="1">
      <c r="A609" s="2"/>
      <c r="N609" s="2"/>
    </row>
    <row r="610" spans="1:14" ht="16.5" customHeight="1">
      <c r="A610" s="2"/>
      <c r="N610" s="2"/>
    </row>
    <row r="611" spans="1:14" ht="16.5" customHeight="1">
      <c r="A611" s="2"/>
      <c r="N611" s="2"/>
    </row>
    <row r="612" spans="1:14" ht="16.5" customHeight="1">
      <c r="A612" s="2"/>
      <c r="N612" s="2"/>
    </row>
    <row r="613" spans="1:14" ht="16.5" customHeight="1">
      <c r="A613" s="2"/>
      <c r="N613" s="2"/>
    </row>
    <row r="614" spans="1:14" ht="16.5" customHeight="1">
      <c r="A614" s="2"/>
      <c r="N614" s="2"/>
    </row>
    <row r="615" spans="1:14" ht="16.5" customHeight="1">
      <c r="A615" s="2"/>
      <c r="N615" s="2"/>
    </row>
    <row r="616" spans="1:14" ht="16.5" customHeight="1">
      <c r="A616" s="2"/>
      <c r="N616" s="2"/>
    </row>
    <row r="617" spans="1:14" ht="16.5" customHeight="1">
      <c r="A617" s="2"/>
      <c r="N617" s="2"/>
    </row>
    <row r="618" spans="1:14" ht="16.5" customHeight="1">
      <c r="A618" s="2"/>
      <c r="N618" s="2"/>
    </row>
    <row r="619" spans="1:14" ht="16.5" customHeight="1">
      <c r="A619" s="2"/>
      <c r="N619" s="2"/>
    </row>
    <row r="620" spans="1:14" ht="16.5" customHeight="1">
      <c r="A620" s="2"/>
      <c r="N620" s="2"/>
    </row>
    <row r="621" spans="1:14" ht="16.5" customHeight="1">
      <c r="A621" s="2"/>
      <c r="N621" s="2"/>
    </row>
    <row r="622" spans="1:14" ht="16.5" customHeight="1">
      <c r="A622" s="2"/>
      <c r="N622" s="2"/>
    </row>
    <row r="623" spans="1:14" ht="16.5" customHeight="1">
      <c r="A623" s="2"/>
      <c r="N623" s="2"/>
    </row>
    <row r="624" spans="1:14" ht="16.5" customHeight="1">
      <c r="A624" s="2"/>
      <c r="N624" s="2"/>
    </row>
    <row r="625" spans="1:14" ht="16.5" customHeight="1">
      <c r="A625" s="2"/>
      <c r="N625" s="2"/>
    </row>
    <row r="626" spans="1:14" ht="16.5" customHeight="1">
      <c r="A626" s="2"/>
      <c r="N626" s="2"/>
    </row>
    <row r="627" spans="1:14" ht="16.5" customHeight="1">
      <c r="A627" s="2"/>
      <c r="N627" s="2"/>
    </row>
    <row r="628" spans="1:14" ht="16.5" customHeight="1">
      <c r="A628" s="2"/>
      <c r="N628" s="2"/>
    </row>
    <row r="629" spans="1:14" ht="16.5" customHeight="1">
      <c r="A629" s="2"/>
      <c r="N629" s="2"/>
    </row>
    <row r="630" spans="1:14" ht="16.5" customHeight="1">
      <c r="A630" s="2"/>
      <c r="N630" s="2"/>
    </row>
    <row r="631" spans="1:14" ht="16.5" customHeight="1">
      <c r="A631" s="2"/>
      <c r="N631" s="2"/>
    </row>
    <row r="632" spans="1:14" ht="16.5" customHeight="1">
      <c r="A632" s="2"/>
      <c r="N632" s="2"/>
    </row>
    <row r="633" spans="1:14" ht="16.5" customHeight="1">
      <c r="A633" s="2"/>
      <c r="N633" s="2"/>
    </row>
    <row r="634" spans="1:14" ht="16.5" customHeight="1">
      <c r="A634" s="2"/>
      <c r="N634" s="2"/>
    </row>
    <row r="635" spans="1:14" ht="16.5" customHeight="1">
      <c r="A635" s="2"/>
      <c r="N635" s="2"/>
    </row>
    <row r="636" spans="1:14" ht="16.5" customHeight="1">
      <c r="A636" s="2"/>
      <c r="N636" s="2"/>
    </row>
    <row r="637" spans="1:14" ht="16.5" customHeight="1">
      <c r="A637" s="2"/>
      <c r="N637" s="2"/>
    </row>
    <row r="638" spans="1:14" ht="16.5" customHeight="1">
      <c r="A638" s="2"/>
      <c r="N638" s="2"/>
    </row>
    <row r="639" spans="1:14" ht="16.5" customHeight="1">
      <c r="A639" s="2"/>
      <c r="N639" s="2"/>
    </row>
    <row r="640" spans="1:14" ht="16.5" customHeight="1">
      <c r="A640" s="2"/>
      <c r="N640" s="2"/>
    </row>
    <row r="641" spans="1:14" ht="16.5" customHeight="1">
      <c r="A641" s="2"/>
      <c r="N641" s="2"/>
    </row>
    <row r="642" spans="1:14" ht="16.5" customHeight="1">
      <c r="A642" s="2"/>
      <c r="N642" s="2"/>
    </row>
    <row r="643" spans="1:14" ht="16.5" customHeight="1">
      <c r="A643" s="2"/>
      <c r="N643" s="2"/>
    </row>
    <row r="644" spans="1:14" ht="16.5" customHeight="1">
      <c r="A644" s="2"/>
      <c r="N644" s="2"/>
    </row>
    <row r="645" spans="1:14" ht="16.5" customHeight="1">
      <c r="A645" s="2"/>
      <c r="N645" s="2"/>
    </row>
    <row r="646" spans="1:14" ht="16.5" customHeight="1">
      <c r="A646" s="2"/>
      <c r="N646" s="2"/>
    </row>
    <row r="647" spans="1:14" ht="16.5" customHeight="1">
      <c r="A647" s="2"/>
      <c r="N647" s="2"/>
    </row>
    <row r="648" spans="1:14" ht="16.5" customHeight="1">
      <c r="A648" s="2"/>
      <c r="N648" s="2"/>
    </row>
    <row r="649" spans="1:14" ht="16.5" customHeight="1">
      <c r="A649" s="2"/>
      <c r="N649" s="2"/>
    </row>
    <row r="650" spans="1:14" ht="16.5" customHeight="1">
      <c r="A650" s="2"/>
      <c r="N650" s="2"/>
    </row>
    <row r="651" spans="1:14" ht="16.5" customHeight="1">
      <c r="A651" s="2"/>
      <c r="N651" s="2"/>
    </row>
    <row r="652" spans="1:14" ht="16.5" customHeight="1">
      <c r="A652" s="2"/>
      <c r="N652" s="2"/>
    </row>
    <row r="653" spans="1:14" ht="16.5" customHeight="1">
      <c r="A653" s="2"/>
      <c r="N653" s="2"/>
    </row>
    <row r="654" spans="1:14" ht="16.5" customHeight="1">
      <c r="A654" s="2"/>
      <c r="N654" s="2"/>
    </row>
    <row r="655" spans="1:14" ht="16.5" customHeight="1">
      <c r="A655" s="2"/>
      <c r="N655" s="2"/>
    </row>
    <row r="656" spans="1:14" ht="16.5" customHeight="1">
      <c r="A656" s="2"/>
      <c r="N656" s="2"/>
    </row>
    <row r="657" spans="1:14" ht="16.5" customHeight="1">
      <c r="A657" s="2"/>
      <c r="N657" s="2"/>
    </row>
    <row r="658" spans="1:14" ht="16.5" customHeight="1">
      <c r="A658" s="2"/>
      <c r="N658" s="2"/>
    </row>
    <row r="659" spans="1:14" ht="16.5" customHeight="1">
      <c r="A659" s="2"/>
      <c r="N659" s="2"/>
    </row>
    <row r="660" spans="1:14" ht="16.5" customHeight="1">
      <c r="A660" s="2"/>
      <c r="N660" s="2"/>
    </row>
    <row r="661" spans="1:14" ht="16.5" customHeight="1">
      <c r="A661" s="2"/>
      <c r="N661" s="2"/>
    </row>
    <row r="662" spans="1:14" ht="16.5" customHeight="1">
      <c r="A662" s="2"/>
      <c r="N662" s="2"/>
    </row>
    <row r="663" spans="1:14" ht="16.5" customHeight="1">
      <c r="A663" s="2"/>
      <c r="N663" s="2"/>
    </row>
    <row r="664" spans="1:14" ht="16.5" customHeight="1">
      <c r="A664" s="2"/>
      <c r="N664" s="2"/>
    </row>
    <row r="665" spans="1:14" ht="16.5" customHeight="1">
      <c r="A665" s="2"/>
      <c r="N665" s="2"/>
    </row>
    <row r="666" spans="1:14" ht="16.5" customHeight="1">
      <c r="A666" s="2"/>
      <c r="N666" s="2"/>
    </row>
    <row r="667" spans="1:14" ht="16.5" customHeight="1">
      <c r="A667" s="2"/>
      <c r="N667" s="2"/>
    </row>
    <row r="668" spans="1:14" ht="16.5" customHeight="1">
      <c r="A668" s="2"/>
      <c r="N668" s="2"/>
    </row>
    <row r="669" spans="1:14" ht="16.5" customHeight="1">
      <c r="A669" s="2"/>
      <c r="N669" s="2"/>
    </row>
    <row r="670" spans="1:14" ht="16.5" customHeight="1">
      <c r="A670" s="2"/>
      <c r="N670" s="2"/>
    </row>
    <row r="671" spans="1:14" ht="16.5" customHeight="1">
      <c r="A671" s="2"/>
      <c r="N671" s="2"/>
    </row>
    <row r="672" spans="1:14" ht="16.5" customHeight="1">
      <c r="A672" s="2"/>
      <c r="N672" s="2"/>
    </row>
    <row r="673" spans="1:14" ht="16.5" customHeight="1">
      <c r="A673" s="2"/>
      <c r="N673" s="2"/>
    </row>
    <row r="674" spans="1:14" ht="16.5" customHeight="1">
      <c r="A674" s="2"/>
      <c r="N674" s="2"/>
    </row>
    <row r="675" spans="1:14" ht="16.5" customHeight="1">
      <c r="A675" s="2"/>
      <c r="N675" s="2"/>
    </row>
    <row r="676" spans="1:14" ht="16.5" customHeight="1">
      <c r="A676" s="2"/>
      <c r="N676" s="2"/>
    </row>
    <row r="677" spans="1:14" ht="16.5" customHeight="1">
      <c r="A677" s="2"/>
      <c r="N677" s="2"/>
    </row>
    <row r="678" spans="1:14" ht="16.5" customHeight="1">
      <c r="A678" s="2"/>
      <c r="N678" s="2"/>
    </row>
    <row r="679" spans="1:14" ht="16.5" customHeight="1">
      <c r="A679" s="2"/>
      <c r="N679" s="2"/>
    </row>
    <row r="680" spans="1:14" ht="16.5" customHeight="1">
      <c r="A680" s="2"/>
      <c r="N680" s="2"/>
    </row>
    <row r="681" spans="1:14" ht="16.5" customHeight="1">
      <c r="A681" s="2"/>
      <c r="N681" s="2"/>
    </row>
    <row r="682" spans="1:14" ht="16.5" customHeight="1">
      <c r="A682" s="2"/>
      <c r="N682" s="2"/>
    </row>
    <row r="683" spans="1:14" ht="16.5" customHeight="1">
      <c r="A683" s="2"/>
      <c r="N683" s="2"/>
    </row>
    <row r="684" spans="1:14" ht="16.5" customHeight="1">
      <c r="A684" s="2"/>
      <c r="N684" s="2"/>
    </row>
    <row r="685" spans="1:14" ht="16.5" customHeight="1">
      <c r="A685" s="2"/>
      <c r="N685" s="2"/>
    </row>
    <row r="686" spans="1:14" ht="16.5" customHeight="1">
      <c r="A686" s="2"/>
      <c r="N686" s="2"/>
    </row>
    <row r="687" spans="1:14" ht="16.5" customHeight="1">
      <c r="A687" s="2"/>
      <c r="N687" s="2"/>
    </row>
    <row r="688" spans="1:14" ht="16.5" customHeight="1">
      <c r="A688" s="2"/>
      <c r="N688" s="2"/>
    </row>
    <row r="689" spans="1:14" ht="16.5" customHeight="1">
      <c r="A689" s="2"/>
      <c r="N689" s="2"/>
    </row>
    <row r="690" spans="1:14" ht="16.5" customHeight="1">
      <c r="A690" s="2"/>
      <c r="N690" s="2"/>
    </row>
    <row r="691" spans="1:14" ht="16.5" customHeight="1">
      <c r="A691" s="2"/>
      <c r="N691" s="2"/>
    </row>
    <row r="692" spans="1:14" ht="16.5" customHeight="1">
      <c r="A692" s="2"/>
      <c r="N692" s="2"/>
    </row>
    <row r="693" spans="1:14" ht="16.5" customHeight="1">
      <c r="A693" s="2"/>
      <c r="N693" s="2"/>
    </row>
    <row r="694" spans="1:14" ht="16.5" customHeight="1">
      <c r="A694" s="2"/>
      <c r="N694" s="2"/>
    </row>
    <row r="695" spans="1:14" ht="16.5" customHeight="1">
      <c r="A695" s="2"/>
      <c r="N695" s="2"/>
    </row>
    <row r="696" spans="1:14" ht="16.5" customHeight="1">
      <c r="A696" s="2"/>
      <c r="N696" s="2"/>
    </row>
    <row r="697" spans="1:14" ht="16.5" customHeight="1">
      <c r="A697" s="2"/>
      <c r="N697" s="2"/>
    </row>
    <row r="698" spans="1:14" ht="16.5" customHeight="1">
      <c r="A698" s="2"/>
      <c r="N698" s="2"/>
    </row>
    <row r="699" spans="1:14" ht="16.5" customHeight="1">
      <c r="A699" s="2"/>
      <c r="N699" s="2"/>
    </row>
    <row r="700" spans="1:14" ht="16.5" customHeight="1">
      <c r="A700" s="2"/>
      <c r="N700" s="2"/>
    </row>
    <row r="701" spans="1:14" ht="16.5" customHeight="1">
      <c r="A701" s="2"/>
      <c r="N701" s="2"/>
    </row>
    <row r="702" spans="1:14" ht="16.5" customHeight="1">
      <c r="A702" s="2"/>
      <c r="N702" s="2"/>
    </row>
    <row r="703" spans="1:14" ht="16.5" customHeight="1">
      <c r="A703" s="2"/>
      <c r="N703" s="2"/>
    </row>
    <row r="704" spans="1:14" ht="16.5" customHeight="1">
      <c r="A704" s="2"/>
      <c r="N704" s="2"/>
    </row>
    <row r="705" spans="1:14" ht="16.5" customHeight="1">
      <c r="A705" s="2"/>
      <c r="N705" s="2"/>
    </row>
    <row r="706" spans="1:14" ht="16.5" customHeight="1">
      <c r="A706" s="2"/>
      <c r="N706" s="2"/>
    </row>
    <row r="707" spans="1:14" ht="16.5" customHeight="1">
      <c r="A707" s="2"/>
      <c r="N707" s="2"/>
    </row>
    <row r="708" spans="1:14" ht="16.5" customHeight="1">
      <c r="A708" s="2"/>
      <c r="N708" s="2"/>
    </row>
    <row r="709" spans="1:14" ht="16.5" customHeight="1">
      <c r="A709" s="2"/>
      <c r="N709" s="2"/>
    </row>
    <row r="710" spans="1:14" ht="16.5" customHeight="1">
      <c r="A710" s="2"/>
      <c r="N710" s="2"/>
    </row>
    <row r="711" spans="1:14" ht="16.5" customHeight="1">
      <c r="A711" s="2"/>
      <c r="N711" s="2"/>
    </row>
    <row r="712" spans="1:14" ht="16.5" customHeight="1">
      <c r="A712" s="2"/>
      <c r="N712" s="2"/>
    </row>
    <row r="713" spans="1:14" ht="16.5" customHeight="1">
      <c r="A713" s="2"/>
      <c r="N713" s="2"/>
    </row>
    <row r="714" spans="1:14" ht="16.5" customHeight="1">
      <c r="A714" s="2"/>
      <c r="N714" s="2"/>
    </row>
    <row r="715" spans="1:14" ht="16.5" customHeight="1">
      <c r="A715" s="2"/>
      <c r="N715" s="2"/>
    </row>
    <row r="716" spans="1:14" ht="16.5" customHeight="1">
      <c r="A716" s="2"/>
      <c r="N716" s="2"/>
    </row>
    <row r="717" spans="1:14" ht="16.5" customHeight="1">
      <c r="A717" s="2"/>
      <c r="N717" s="2"/>
    </row>
    <row r="718" spans="1:14" ht="16.5" customHeight="1">
      <c r="A718" s="2"/>
      <c r="N718" s="2"/>
    </row>
    <row r="719" spans="1:14" ht="16.5" customHeight="1">
      <c r="A719" s="2"/>
      <c r="N719" s="2"/>
    </row>
    <row r="720" spans="1:14" ht="16.5" customHeight="1">
      <c r="A720" s="2"/>
      <c r="N720" s="2"/>
    </row>
    <row r="721" spans="1:14" ht="16.5" customHeight="1">
      <c r="A721" s="2"/>
      <c r="N721" s="2"/>
    </row>
    <row r="722" spans="1:14" ht="16.5" customHeight="1">
      <c r="A722" s="2"/>
      <c r="N722" s="2"/>
    </row>
    <row r="723" spans="1:14" ht="16.5" customHeight="1">
      <c r="A723" s="2"/>
      <c r="N723" s="2"/>
    </row>
    <row r="724" spans="1:14" ht="16.5" customHeight="1">
      <c r="A724" s="2"/>
      <c r="N724" s="2"/>
    </row>
    <row r="725" spans="1:14" ht="16.5" customHeight="1">
      <c r="A725" s="2"/>
      <c r="N725" s="2"/>
    </row>
    <row r="726" spans="1:14" ht="16.5" customHeight="1">
      <c r="A726" s="2"/>
      <c r="N726" s="2"/>
    </row>
    <row r="727" spans="1:14" ht="16.5" customHeight="1">
      <c r="A727" s="2"/>
      <c r="N727" s="2"/>
    </row>
    <row r="728" spans="1:14" ht="16.5" customHeight="1">
      <c r="A728" s="2"/>
      <c r="N728" s="2"/>
    </row>
    <row r="729" spans="1:14" ht="16.5" customHeight="1">
      <c r="A729" s="2"/>
      <c r="N729" s="2"/>
    </row>
    <row r="730" spans="1:14" ht="16.5" customHeight="1">
      <c r="A730" s="2"/>
      <c r="N730" s="2"/>
    </row>
    <row r="731" spans="1:14" ht="16.5" customHeight="1">
      <c r="A731" s="2"/>
      <c r="N731" s="2"/>
    </row>
    <row r="732" spans="1:14" ht="16.5" customHeight="1">
      <c r="A732" s="2"/>
      <c r="N732" s="2"/>
    </row>
    <row r="733" spans="1:14" ht="16.5" customHeight="1">
      <c r="A733" s="2"/>
      <c r="N733" s="2"/>
    </row>
    <row r="734" spans="1:14" ht="16.5" customHeight="1">
      <c r="A734" s="2"/>
      <c r="N734" s="2"/>
    </row>
    <row r="735" spans="1:14" ht="16.5" customHeight="1">
      <c r="A735" s="2"/>
      <c r="N735" s="2"/>
    </row>
    <row r="736" spans="1:14" ht="16.5" customHeight="1">
      <c r="A736" s="2"/>
      <c r="N736" s="2"/>
    </row>
    <row r="737" spans="1:14" ht="16.5" customHeight="1">
      <c r="A737" s="2"/>
      <c r="N737" s="2"/>
    </row>
    <row r="738" spans="1:14" ht="16.5" customHeight="1">
      <c r="A738" s="2"/>
      <c r="N738" s="2"/>
    </row>
    <row r="739" spans="1:14" ht="16.5" customHeight="1">
      <c r="A739" s="2"/>
      <c r="N739" s="2"/>
    </row>
    <row r="740" spans="1:14" ht="16.5" customHeight="1">
      <c r="A740" s="2"/>
      <c r="N740" s="2"/>
    </row>
    <row r="741" spans="1:14" ht="16.5" customHeight="1">
      <c r="A741" s="2"/>
      <c r="N741" s="2"/>
    </row>
    <row r="742" spans="1:14" ht="16.5" customHeight="1">
      <c r="A742" s="2"/>
      <c r="N742" s="2"/>
    </row>
    <row r="743" spans="1:14" ht="16.5" customHeight="1">
      <c r="A743" s="2"/>
      <c r="N743" s="2"/>
    </row>
    <row r="744" spans="1:14" ht="16.5" customHeight="1">
      <c r="A744" s="2"/>
      <c r="N744" s="2"/>
    </row>
    <row r="745" spans="1:14" ht="16.5" customHeight="1">
      <c r="A745" s="2"/>
      <c r="N745" s="2"/>
    </row>
    <row r="746" spans="1:14" ht="16.5" customHeight="1">
      <c r="A746" s="2"/>
      <c r="N746" s="2"/>
    </row>
    <row r="747" spans="1:14" ht="16.5" customHeight="1">
      <c r="A747" s="2"/>
      <c r="N747" s="2"/>
    </row>
    <row r="748" spans="1:14" ht="16.5" customHeight="1">
      <c r="A748" s="2"/>
      <c r="N748" s="2"/>
    </row>
    <row r="749" spans="1:14" ht="16.5" customHeight="1">
      <c r="A749" s="2"/>
      <c r="N749" s="2"/>
    </row>
    <row r="750" spans="1:14" ht="16.5" customHeight="1">
      <c r="A750" s="2"/>
      <c r="N750" s="2"/>
    </row>
    <row r="751" spans="1:14" ht="16.5" customHeight="1">
      <c r="A751" s="2"/>
      <c r="N751" s="2"/>
    </row>
    <row r="752" spans="1:14" ht="16.5" customHeight="1">
      <c r="A752" s="2"/>
      <c r="N752" s="2"/>
    </row>
    <row r="753" spans="1:14" ht="16.5" customHeight="1">
      <c r="A753" s="2"/>
      <c r="N753" s="2"/>
    </row>
    <row r="754" spans="1:14" ht="16.5" customHeight="1">
      <c r="A754" s="2"/>
      <c r="N754" s="2"/>
    </row>
    <row r="755" spans="1:14" ht="16.5" customHeight="1">
      <c r="A755" s="2"/>
      <c r="N755" s="2"/>
    </row>
    <row r="756" spans="1:14" ht="16.5" customHeight="1">
      <c r="A756" s="2"/>
      <c r="N756" s="2"/>
    </row>
    <row r="757" spans="1:14" ht="16.5" customHeight="1">
      <c r="A757" s="2"/>
      <c r="N757" s="2"/>
    </row>
    <row r="758" spans="1:14" ht="16.5" customHeight="1">
      <c r="A758" s="2"/>
      <c r="N758" s="2"/>
    </row>
    <row r="759" spans="1:14" ht="16.5" customHeight="1">
      <c r="A759" s="2"/>
      <c r="N759" s="2"/>
    </row>
    <row r="760" spans="1:14" ht="16.5" customHeight="1">
      <c r="A760" s="2"/>
      <c r="N760" s="2"/>
    </row>
    <row r="761" spans="1:14" ht="16.5" customHeight="1">
      <c r="A761" s="2"/>
      <c r="N761" s="2"/>
    </row>
    <row r="762" spans="1:14" ht="16.5" customHeight="1">
      <c r="A762" s="2"/>
      <c r="N762" s="2"/>
    </row>
    <row r="763" spans="1:14" ht="16.5" customHeight="1">
      <c r="A763" s="2"/>
      <c r="N763" s="2"/>
    </row>
    <row r="764" spans="1:14" ht="16.5" customHeight="1">
      <c r="A764" s="2"/>
      <c r="N764" s="2"/>
    </row>
    <row r="765" spans="1:14" ht="16.5" customHeight="1">
      <c r="A765" s="2"/>
      <c r="N765" s="2"/>
    </row>
    <row r="766" spans="1:14" ht="16.5" customHeight="1">
      <c r="A766" s="2"/>
      <c r="N766" s="2"/>
    </row>
    <row r="767" spans="1:14" ht="16.5" customHeight="1">
      <c r="A767" s="2"/>
      <c r="N767" s="2"/>
    </row>
    <row r="768" spans="1:14" ht="16.5" customHeight="1">
      <c r="A768" s="2"/>
      <c r="N768" s="2"/>
    </row>
    <row r="769" spans="1:14" ht="16.5" customHeight="1">
      <c r="A769" s="2"/>
      <c r="N769" s="2"/>
    </row>
    <row r="770" spans="1:14" ht="16.5" customHeight="1">
      <c r="A770" s="2"/>
      <c r="N770" s="2"/>
    </row>
    <row r="771" spans="1:14" ht="16.5" customHeight="1">
      <c r="A771" s="2"/>
      <c r="N771" s="2"/>
    </row>
    <row r="772" spans="1:14" ht="16.5" customHeight="1">
      <c r="A772" s="2"/>
      <c r="N772" s="2"/>
    </row>
    <row r="773" spans="1:14" ht="16.5" customHeight="1">
      <c r="A773" s="2"/>
      <c r="N773" s="2"/>
    </row>
    <row r="774" spans="1:14" ht="16.5" customHeight="1">
      <c r="A774" s="2"/>
      <c r="N774" s="2"/>
    </row>
    <row r="775" spans="1:14" ht="16.5" customHeight="1">
      <c r="A775" s="2"/>
      <c r="N775" s="2"/>
    </row>
    <row r="776" spans="1:14" ht="16.5" customHeight="1">
      <c r="A776" s="2"/>
      <c r="N776" s="2"/>
    </row>
    <row r="777" spans="1:14" ht="16.5" customHeight="1">
      <c r="A777" s="2"/>
      <c r="N777" s="2"/>
    </row>
    <row r="778" spans="1:14" ht="16.5" customHeight="1">
      <c r="A778" s="2"/>
      <c r="N778" s="2"/>
    </row>
    <row r="779" spans="1:14" ht="16.5" customHeight="1">
      <c r="A779" s="2"/>
      <c r="N779" s="2"/>
    </row>
    <row r="780" spans="1:14" ht="16.5" customHeight="1">
      <c r="A780" s="2"/>
      <c r="N780" s="2"/>
    </row>
    <row r="781" spans="1:14" ht="16.5" customHeight="1">
      <c r="A781" s="2"/>
      <c r="N781" s="2"/>
    </row>
    <row r="782" spans="1:14" ht="16.5" customHeight="1">
      <c r="A782" s="2"/>
      <c r="N782" s="2"/>
    </row>
    <row r="783" spans="1:14" ht="16.5" customHeight="1">
      <c r="A783" s="2"/>
      <c r="N783" s="2"/>
    </row>
    <row r="784" spans="1:14" ht="16.5" customHeight="1">
      <c r="A784" s="2"/>
      <c r="N784" s="2"/>
    </row>
    <row r="785" spans="1:14" ht="16.5" customHeight="1">
      <c r="A785" s="2"/>
      <c r="N785" s="2"/>
    </row>
    <row r="786" spans="1:14" ht="16.5" customHeight="1">
      <c r="A786" s="2"/>
      <c r="N786" s="2"/>
    </row>
    <row r="787" spans="1:14" ht="16.5" customHeight="1">
      <c r="A787" s="2"/>
      <c r="N787" s="2"/>
    </row>
    <row r="788" spans="1:14" ht="16.5" customHeight="1">
      <c r="A788" s="2"/>
      <c r="N788" s="2"/>
    </row>
    <row r="789" spans="1:14" ht="16.5" customHeight="1">
      <c r="A789" s="2"/>
      <c r="N789" s="2"/>
    </row>
    <row r="790" spans="1:14" ht="16.5" customHeight="1">
      <c r="A790" s="2"/>
      <c r="N790" s="2"/>
    </row>
    <row r="791" spans="1:14" ht="16.5" customHeight="1">
      <c r="A791" s="2"/>
      <c r="N791" s="2"/>
    </row>
    <row r="792" spans="1:14" ht="16.5" customHeight="1">
      <c r="A792" s="2"/>
      <c r="N792" s="2"/>
    </row>
    <row r="793" spans="1:14" ht="16.5" customHeight="1">
      <c r="A793" s="2"/>
      <c r="N793" s="2"/>
    </row>
    <row r="794" spans="1:14" ht="16.5" customHeight="1">
      <c r="A794" s="2"/>
      <c r="N794" s="2"/>
    </row>
    <row r="795" spans="1:14" ht="16.5" customHeight="1">
      <c r="A795" s="2"/>
      <c r="N795" s="2"/>
    </row>
    <row r="796" spans="1:14" ht="16.5" customHeight="1">
      <c r="A796" s="2"/>
      <c r="N796" s="2"/>
    </row>
    <row r="797" spans="1:14" ht="16.5" customHeight="1">
      <c r="A797" s="2"/>
      <c r="N797" s="2"/>
    </row>
    <row r="798" spans="1:14" ht="16.5" customHeight="1">
      <c r="A798" s="2"/>
      <c r="N798" s="2"/>
    </row>
    <row r="799" spans="1:14" ht="16.5" customHeight="1">
      <c r="A799" s="2"/>
      <c r="N799" s="2"/>
    </row>
    <row r="800" spans="1:14" ht="16.5" customHeight="1">
      <c r="A800" s="2"/>
      <c r="N800" s="2"/>
    </row>
    <row r="801" spans="1:14" ht="16.5" customHeight="1">
      <c r="A801" s="2"/>
      <c r="N801" s="2"/>
    </row>
    <row r="802" spans="1:14" ht="16.5" customHeight="1">
      <c r="A802" s="2"/>
      <c r="N802" s="2"/>
    </row>
    <row r="803" spans="1:14" ht="16.5" customHeight="1">
      <c r="A803" s="2"/>
      <c r="N803" s="2"/>
    </row>
    <row r="804" spans="1:14" ht="16.5" customHeight="1">
      <c r="A804" s="2"/>
      <c r="N804" s="2"/>
    </row>
    <row r="805" spans="1:14" ht="16.5" customHeight="1">
      <c r="A805" s="2"/>
      <c r="N805" s="2"/>
    </row>
    <row r="806" spans="1:14" ht="16.5" customHeight="1">
      <c r="A806" s="2"/>
      <c r="N806" s="2"/>
    </row>
    <row r="807" spans="1:14" ht="16.5" customHeight="1">
      <c r="A807" s="2"/>
      <c r="N807" s="2"/>
    </row>
    <row r="808" spans="1:14" ht="16.5" customHeight="1">
      <c r="A808" s="2"/>
      <c r="N808" s="2"/>
    </row>
    <row r="809" spans="1:14" ht="16.5" customHeight="1">
      <c r="A809" s="2"/>
      <c r="N809" s="2"/>
    </row>
    <row r="810" spans="1:14" ht="16.5" customHeight="1">
      <c r="A810" s="2"/>
      <c r="N810" s="2"/>
    </row>
    <row r="811" spans="1:14" ht="16.5" customHeight="1">
      <c r="A811" s="2"/>
      <c r="N811" s="2"/>
    </row>
    <row r="812" spans="1:14" ht="16.5" customHeight="1">
      <c r="A812" s="2"/>
      <c r="N812" s="2"/>
    </row>
    <row r="813" spans="1:14" ht="16.5" customHeight="1">
      <c r="A813" s="2"/>
      <c r="N813" s="2"/>
    </row>
    <row r="814" spans="1:14" ht="16.5" customHeight="1">
      <c r="A814" s="2"/>
      <c r="N814" s="2"/>
    </row>
    <row r="815" spans="1:14" ht="16.5" customHeight="1">
      <c r="A815" s="2"/>
      <c r="N815" s="2"/>
    </row>
    <row r="816" spans="1:14" ht="16.5" customHeight="1">
      <c r="A816" s="2"/>
      <c r="N816" s="2"/>
    </row>
    <row r="817" spans="1:14" ht="16.5" customHeight="1">
      <c r="A817" s="2"/>
      <c r="N817" s="2"/>
    </row>
    <row r="818" spans="1:14" ht="16.5" customHeight="1">
      <c r="A818" s="2"/>
      <c r="N818" s="2"/>
    </row>
    <row r="819" spans="1:14" ht="16.5" customHeight="1">
      <c r="A819" s="2"/>
      <c r="N819" s="2"/>
    </row>
    <row r="820" spans="1:14" ht="16.5" customHeight="1">
      <c r="A820" s="2"/>
      <c r="N820" s="2"/>
    </row>
    <row r="821" spans="1:14" ht="16.5" customHeight="1">
      <c r="A821" s="2"/>
      <c r="N821" s="2"/>
    </row>
    <row r="822" spans="1:14" ht="16.5" customHeight="1">
      <c r="A822" s="2"/>
      <c r="N822" s="2"/>
    </row>
    <row r="823" spans="1:14" ht="16.5" customHeight="1">
      <c r="A823" s="2"/>
      <c r="N823" s="2"/>
    </row>
    <row r="824" spans="1:14" ht="16.5" customHeight="1">
      <c r="A824" s="2"/>
      <c r="N824" s="2"/>
    </row>
    <row r="825" spans="1:14" ht="16.5" customHeight="1">
      <c r="A825" s="2"/>
      <c r="N825" s="2"/>
    </row>
    <row r="826" spans="1:14" ht="16.5" customHeight="1">
      <c r="A826" s="2"/>
      <c r="N826" s="2"/>
    </row>
    <row r="827" spans="1:14" ht="16.5" customHeight="1">
      <c r="A827" s="2"/>
      <c r="N827" s="2"/>
    </row>
    <row r="828" spans="1:14" ht="16.5" customHeight="1">
      <c r="A828" s="2"/>
      <c r="N828" s="2"/>
    </row>
    <row r="829" spans="1:14" ht="16.5" customHeight="1">
      <c r="A829" s="2"/>
      <c r="N829" s="2"/>
    </row>
    <row r="830" spans="1:14" ht="16.5" customHeight="1">
      <c r="A830" s="2"/>
      <c r="N830" s="2"/>
    </row>
    <row r="831" spans="1:14" ht="16.5" customHeight="1">
      <c r="A831" s="2"/>
      <c r="N831" s="2"/>
    </row>
    <row r="832" spans="1:14" ht="16.5" customHeight="1">
      <c r="A832" s="2"/>
      <c r="N832" s="2"/>
    </row>
    <row r="833" spans="1:14" ht="16.5" customHeight="1">
      <c r="A833" s="2"/>
      <c r="N833" s="2"/>
    </row>
    <row r="834" spans="1:14" ht="16.5" customHeight="1">
      <c r="A834" s="2"/>
      <c r="N834" s="2"/>
    </row>
    <row r="835" spans="1:14" ht="16.5" customHeight="1">
      <c r="A835" s="2"/>
      <c r="N835" s="2"/>
    </row>
    <row r="836" spans="1:14" ht="16.5" customHeight="1">
      <c r="A836" s="2"/>
      <c r="N836" s="2"/>
    </row>
    <row r="837" spans="1:14" ht="16.5" customHeight="1">
      <c r="A837" s="2"/>
      <c r="N837" s="2"/>
    </row>
    <row r="838" spans="1:14" ht="16.5" customHeight="1">
      <c r="A838" s="2"/>
      <c r="N838" s="2"/>
    </row>
    <row r="839" spans="1:14" ht="16.5" customHeight="1">
      <c r="A839" s="2"/>
      <c r="N839" s="2"/>
    </row>
    <row r="840" spans="1:14" ht="16.5" customHeight="1">
      <c r="A840" s="2"/>
      <c r="N840" s="2"/>
    </row>
    <row r="841" spans="1:14" ht="16.5" customHeight="1">
      <c r="A841" s="2"/>
      <c r="N841" s="2"/>
    </row>
    <row r="842" spans="1:14" ht="16.5" customHeight="1">
      <c r="A842" s="2"/>
      <c r="N842" s="2"/>
    </row>
    <row r="843" spans="1:14" ht="16.5" customHeight="1">
      <c r="A843" s="2"/>
      <c r="N843" s="2"/>
    </row>
    <row r="844" spans="1:14" ht="16.5" customHeight="1">
      <c r="A844" s="2"/>
      <c r="N844" s="2"/>
    </row>
    <row r="845" spans="1:14" ht="16.5" customHeight="1">
      <c r="A845" s="2"/>
      <c r="N845" s="2"/>
    </row>
    <row r="846" spans="1:14" ht="16.5" customHeight="1">
      <c r="A846" s="2"/>
      <c r="N846" s="2"/>
    </row>
    <row r="847" spans="1:14" ht="16.5" customHeight="1">
      <c r="A847" s="2"/>
      <c r="N847" s="2"/>
    </row>
    <row r="848" spans="1:14" ht="16.5" customHeight="1">
      <c r="A848" s="2"/>
      <c r="N848" s="2"/>
    </row>
    <row r="849" spans="1:14" ht="16.5" customHeight="1">
      <c r="A849" s="2"/>
      <c r="N849" s="2"/>
    </row>
    <row r="850" spans="1:14" ht="16.5" customHeight="1">
      <c r="A850" s="2"/>
      <c r="N850" s="2"/>
    </row>
    <row r="851" spans="1:14" ht="16.5" customHeight="1">
      <c r="A851" s="2"/>
      <c r="N851" s="2"/>
    </row>
    <row r="852" spans="1:14" ht="16.5" customHeight="1">
      <c r="A852" s="2"/>
      <c r="N852" s="2"/>
    </row>
    <row r="853" spans="1:14" ht="16.5" customHeight="1">
      <c r="A853" s="2"/>
      <c r="N853" s="2"/>
    </row>
    <row r="854" spans="1:14" ht="16.5" customHeight="1">
      <c r="A854" s="2"/>
      <c r="N854" s="2"/>
    </row>
    <row r="855" spans="1:14" ht="16.5" customHeight="1">
      <c r="A855" s="2"/>
      <c r="N855" s="2"/>
    </row>
    <row r="856" spans="1:14" ht="16.5" customHeight="1">
      <c r="A856" s="2"/>
      <c r="N856" s="2"/>
    </row>
    <row r="857" spans="1:14" ht="16.5" customHeight="1">
      <c r="A857" s="2"/>
      <c r="N857" s="2"/>
    </row>
    <row r="858" spans="1:14" ht="16.5" customHeight="1">
      <c r="A858" s="2"/>
      <c r="N858" s="2"/>
    </row>
    <row r="859" spans="1:14" ht="16.5" customHeight="1">
      <c r="A859" s="2"/>
      <c r="N859" s="2"/>
    </row>
    <row r="860" spans="1:14" ht="16.5" customHeight="1">
      <c r="A860" s="2"/>
      <c r="N860" s="2"/>
    </row>
    <row r="861" spans="1:14" ht="16.5" customHeight="1">
      <c r="A861" s="2"/>
      <c r="N861" s="2"/>
    </row>
    <row r="862" spans="1:14" ht="16.5" customHeight="1">
      <c r="A862" s="2"/>
      <c r="N862" s="2"/>
    </row>
    <row r="863" spans="1:14" ht="16.5" customHeight="1">
      <c r="A863" s="2"/>
      <c r="N863" s="2"/>
    </row>
    <row r="864" spans="1:14" ht="16.5" customHeight="1">
      <c r="A864" s="2"/>
      <c r="N864" s="2"/>
    </row>
    <row r="865" spans="1:14" ht="16.5" customHeight="1">
      <c r="A865" s="2"/>
      <c r="N865" s="2"/>
    </row>
    <row r="866" spans="1:14" ht="16.5" customHeight="1">
      <c r="A866" s="2"/>
      <c r="N866" s="2"/>
    </row>
    <row r="867" spans="1:14" ht="16.5" customHeight="1">
      <c r="A867" s="2"/>
      <c r="N867" s="2"/>
    </row>
    <row r="868" spans="1:14" ht="16.5" customHeight="1">
      <c r="A868" s="2"/>
      <c r="N868" s="2"/>
    </row>
    <row r="869" spans="1:14" ht="16.5" customHeight="1">
      <c r="A869" s="2"/>
      <c r="N869" s="2"/>
    </row>
    <row r="870" spans="1:14" ht="16.5" customHeight="1">
      <c r="A870" s="2"/>
      <c r="N870" s="2"/>
    </row>
    <row r="871" spans="1:14" ht="16.5" customHeight="1">
      <c r="A871" s="2"/>
      <c r="N871" s="2"/>
    </row>
    <row r="872" spans="1:14" ht="16.5" customHeight="1">
      <c r="A872" s="2"/>
      <c r="N872" s="2"/>
    </row>
    <row r="873" spans="1:14" ht="16.5" customHeight="1">
      <c r="A873" s="2"/>
      <c r="N873" s="2"/>
    </row>
    <row r="874" spans="1:14" ht="16.5" customHeight="1">
      <c r="A874" s="2"/>
      <c r="N874" s="2"/>
    </row>
    <row r="875" spans="1:14" ht="16.5" customHeight="1">
      <c r="A875" s="2"/>
      <c r="N875" s="2"/>
    </row>
    <row r="876" spans="1:14" ht="16.5" customHeight="1">
      <c r="A876" s="2"/>
      <c r="N876" s="2"/>
    </row>
    <row r="877" spans="1:14" ht="16.5" customHeight="1">
      <c r="A877" s="2"/>
      <c r="N877" s="2"/>
    </row>
    <row r="878" spans="1:14" ht="16.5" customHeight="1">
      <c r="A878" s="2"/>
      <c r="N878" s="2"/>
    </row>
    <row r="879" spans="1:14" ht="16.5" customHeight="1">
      <c r="A879" s="2"/>
      <c r="N879" s="2"/>
    </row>
    <row r="880" spans="1:14" ht="16.5" customHeight="1">
      <c r="A880" s="2"/>
      <c r="N880" s="2"/>
    </row>
    <row r="881" spans="1:14" ht="16.5" customHeight="1">
      <c r="A881" s="2"/>
      <c r="N881" s="2"/>
    </row>
    <row r="882" spans="1:14" ht="16.5" customHeight="1">
      <c r="A882" s="2"/>
      <c r="N882" s="2"/>
    </row>
    <row r="883" spans="1:14" ht="16.5" customHeight="1">
      <c r="A883" s="2"/>
      <c r="N883" s="2"/>
    </row>
    <row r="884" spans="1:14" ht="16.5" customHeight="1">
      <c r="A884" s="2"/>
      <c r="N884" s="2"/>
    </row>
    <row r="885" spans="1:14" ht="16.5" customHeight="1">
      <c r="A885" s="2"/>
      <c r="N885" s="2"/>
    </row>
    <row r="886" spans="1:14" ht="16.5" customHeight="1">
      <c r="A886" s="2"/>
      <c r="N886" s="2"/>
    </row>
    <row r="887" spans="1:14" ht="16.5" customHeight="1">
      <c r="A887" s="2"/>
      <c r="N887" s="2"/>
    </row>
    <row r="888" spans="1:14" ht="16.5" customHeight="1">
      <c r="A888" s="2"/>
      <c r="N888" s="2"/>
    </row>
    <row r="889" spans="1:14" ht="16.5" customHeight="1">
      <c r="A889" s="2"/>
      <c r="N889" s="2"/>
    </row>
    <row r="890" spans="1:14" ht="16.5" customHeight="1">
      <c r="A890" s="2"/>
      <c r="N890" s="2"/>
    </row>
    <row r="891" spans="1:14" ht="16.5" customHeight="1">
      <c r="A891" s="2"/>
      <c r="N891" s="2"/>
    </row>
    <row r="892" spans="1:14" ht="16.5" customHeight="1">
      <c r="A892" s="2"/>
      <c r="N892" s="2"/>
    </row>
    <row r="893" spans="1:14" ht="16.5" customHeight="1">
      <c r="A893" s="2"/>
      <c r="N893" s="2"/>
    </row>
    <row r="894" spans="1:14" ht="16.5" customHeight="1">
      <c r="A894" s="2"/>
      <c r="N894" s="2"/>
    </row>
    <row r="895" spans="1:14" ht="16.5" customHeight="1">
      <c r="A895" s="2"/>
      <c r="N895" s="2"/>
    </row>
    <row r="896" spans="1:14" ht="16.5" customHeight="1">
      <c r="A896" s="2"/>
      <c r="N896" s="2"/>
    </row>
    <row r="897" spans="1:14" ht="16.5" customHeight="1">
      <c r="A897" s="2"/>
      <c r="N897" s="2"/>
    </row>
    <row r="898" spans="1:14" ht="16.5" customHeight="1">
      <c r="A898" s="2"/>
      <c r="N898" s="2"/>
    </row>
    <row r="899" spans="1:14" ht="16.5" customHeight="1">
      <c r="A899" s="2"/>
      <c r="N899" s="2"/>
    </row>
    <row r="900" spans="1:14" ht="16.5" customHeight="1">
      <c r="A900" s="2"/>
      <c r="N900" s="2"/>
    </row>
    <row r="901" spans="1:14" ht="16.5" customHeight="1">
      <c r="A901" s="2"/>
      <c r="N901" s="2"/>
    </row>
    <row r="902" spans="1:14" ht="16.5" customHeight="1">
      <c r="A902" s="2"/>
      <c r="N902" s="2"/>
    </row>
    <row r="903" spans="1:14" ht="16.5" customHeight="1">
      <c r="A903" s="2"/>
      <c r="N903" s="2"/>
    </row>
    <row r="904" spans="1:14" ht="16.5" customHeight="1">
      <c r="A904" s="2"/>
      <c r="N904" s="2"/>
    </row>
    <row r="905" spans="1:14" ht="16.5" customHeight="1">
      <c r="A905" s="2"/>
      <c r="N905" s="2"/>
    </row>
    <row r="906" spans="1:14" ht="16.5" customHeight="1">
      <c r="A906" s="2"/>
      <c r="N906" s="2"/>
    </row>
    <row r="907" spans="1:14" ht="16.5" customHeight="1">
      <c r="A907" s="2"/>
      <c r="N907" s="2"/>
    </row>
    <row r="908" spans="1:14" ht="16.5" customHeight="1">
      <c r="A908" s="2"/>
      <c r="N908" s="2"/>
    </row>
    <row r="909" spans="1:14" ht="16.5" customHeight="1">
      <c r="A909" s="2"/>
      <c r="N909" s="2"/>
    </row>
    <row r="910" spans="1:14" ht="16.5" customHeight="1">
      <c r="A910" s="2"/>
      <c r="N910" s="2"/>
    </row>
    <row r="911" spans="1:14" ht="16.5" customHeight="1">
      <c r="A911" s="2"/>
      <c r="N911" s="2"/>
    </row>
    <row r="912" spans="1:14" ht="16.5" customHeight="1">
      <c r="A912" s="2"/>
      <c r="N912" s="2"/>
    </row>
    <row r="913" spans="1:14" ht="16.5" customHeight="1">
      <c r="A913" s="2"/>
      <c r="N913" s="2"/>
    </row>
    <row r="914" spans="1:14" ht="16.5" customHeight="1">
      <c r="A914" s="2"/>
      <c r="N914" s="2"/>
    </row>
    <row r="915" spans="1:14" ht="16.5" customHeight="1">
      <c r="A915" s="2"/>
      <c r="N915" s="2"/>
    </row>
    <row r="916" spans="1:14" ht="16.5" customHeight="1">
      <c r="A916" s="2"/>
      <c r="N916" s="2"/>
    </row>
    <row r="917" spans="1:14" ht="16.5" customHeight="1">
      <c r="A917" s="2"/>
      <c r="N917" s="2"/>
    </row>
    <row r="918" spans="1:14" ht="16.5" customHeight="1">
      <c r="A918" s="2"/>
      <c r="N918" s="2"/>
    </row>
    <row r="919" spans="1:14" ht="16.5" customHeight="1">
      <c r="A919" s="2"/>
      <c r="N919" s="2"/>
    </row>
    <row r="920" spans="1:14" ht="16.5" customHeight="1">
      <c r="A920" s="2"/>
      <c r="N920" s="2"/>
    </row>
    <row r="921" spans="1:14" ht="16.5" customHeight="1">
      <c r="A921" s="2"/>
      <c r="N921" s="2"/>
    </row>
    <row r="922" spans="1:14" ht="16.5" customHeight="1">
      <c r="A922" s="2"/>
      <c r="N922" s="2"/>
    </row>
    <row r="923" spans="1:14" ht="16.5" customHeight="1">
      <c r="A923" s="2"/>
      <c r="N923" s="2"/>
    </row>
    <row r="924" spans="1:14" ht="16.5" customHeight="1">
      <c r="A924" s="2"/>
      <c r="N924" s="2"/>
    </row>
    <row r="925" spans="1:14" ht="16.5" customHeight="1">
      <c r="A925" s="2"/>
      <c r="N925" s="2"/>
    </row>
    <row r="926" spans="1:14" ht="16.5" customHeight="1">
      <c r="A926" s="2"/>
      <c r="N926" s="2"/>
    </row>
    <row r="927" spans="1:14" ht="16.5" customHeight="1">
      <c r="A927" s="2"/>
      <c r="N927" s="2"/>
    </row>
    <row r="928" spans="1:14" ht="16.5" customHeight="1">
      <c r="A928" s="2"/>
      <c r="N928" s="2"/>
    </row>
    <row r="929" spans="1:14" ht="16.5" customHeight="1">
      <c r="A929" s="2"/>
      <c r="N929" s="2"/>
    </row>
    <row r="930" spans="1:14" ht="16.5" customHeight="1">
      <c r="A930" s="2"/>
      <c r="N930" s="2"/>
    </row>
    <row r="931" spans="1:14" ht="16.5" customHeight="1">
      <c r="A931" s="2"/>
      <c r="N931" s="2"/>
    </row>
    <row r="932" spans="1:14" ht="16.5" customHeight="1">
      <c r="A932" s="2"/>
      <c r="N932" s="2"/>
    </row>
    <row r="933" spans="1:14" ht="16.5" customHeight="1">
      <c r="A933" s="2"/>
      <c r="N933" s="2"/>
    </row>
    <row r="934" spans="1:14" ht="16.5" customHeight="1">
      <c r="A934" s="2"/>
      <c r="N934" s="2"/>
    </row>
    <row r="935" spans="1:14" ht="16.5" customHeight="1">
      <c r="A935" s="2"/>
      <c r="N935" s="2"/>
    </row>
    <row r="936" spans="1:14" ht="16.5" customHeight="1">
      <c r="A936" s="2"/>
      <c r="N936" s="2"/>
    </row>
    <row r="937" spans="1:14" ht="16.5" customHeight="1">
      <c r="A937" s="2"/>
      <c r="N937" s="2"/>
    </row>
    <row r="938" spans="1:14" ht="16.5" customHeight="1">
      <c r="A938" s="2"/>
      <c r="N938" s="2"/>
    </row>
    <row r="939" spans="1:14" ht="16.5" customHeight="1">
      <c r="A939" s="2"/>
      <c r="N939" s="2"/>
    </row>
    <row r="940" spans="1:14" ht="16.5" customHeight="1">
      <c r="A940" s="2"/>
      <c r="N940" s="2"/>
    </row>
    <row r="941" spans="1:14" ht="16.5" customHeight="1">
      <c r="A941" s="2"/>
      <c r="N941" s="2"/>
    </row>
    <row r="942" spans="1:14" ht="16.5" customHeight="1">
      <c r="A942" s="2"/>
      <c r="N942" s="2"/>
    </row>
    <row r="943" spans="1:14" ht="16.5" customHeight="1">
      <c r="A943" s="2"/>
      <c r="N943" s="2"/>
    </row>
    <row r="944" spans="1:14" ht="16.5" customHeight="1">
      <c r="A944" s="2"/>
      <c r="N944" s="2"/>
    </row>
    <row r="945" spans="1:14" ht="16.5" customHeight="1">
      <c r="A945" s="2"/>
      <c r="N945" s="2"/>
    </row>
    <row r="946" spans="1:14" ht="16.5" customHeight="1">
      <c r="A946" s="2"/>
      <c r="N946" s="2"/>
    </row>
    <row r="947" spans="1:14" ht="16.5" customHeight="1">
      <c r="A947" s="2"/>
      <c r="N947" s="2"/>
    </row>
    <row r="948" spans="1:14" ht="16.5" customHeight="1">
      <c r="A948" s="2"/>
      <c r="N948" s="2"/>
    </row>
    <row r="949" spans="1:14" ht="16.5" customHeight="1">
      <c r="A949" s="2"/>
      <c r="N949" s="2"/>
    </row>
    <row r="950" spans="1:14" ht="16.5" customHeight="1">
      <c r="A950" s="2"/>
      <c r="N950" s="2"/>
    </row>
    <row r="951" spans="1:14" ht="16.5" customHeight="1">
      <c r="A951" s="2"/>
      <c r="N951" s="2"/>
    </row>
    <row r="952" spans="1:14" ht="16.5" customHeight="1">
      <c r="A952" s="2"/>
      <c r="N952" s="2"/>
    </row>
    <row r="953" spans="1:14" ht="16.5" customHeight="1">
      <c r="A953" s="2"/>
      <c r="N953" s="2"/>
    </row>
    <row r="954" spans="1:14" ht="16.5" customHeight="1">
      <c r="A954" s="2"/>
      <c r="N954" s="2"/>
    </row>
    <row r="955" spans="1:14" ht="16.5" customHeight="1">
      <c r="A955" s="2"/>
      <c r="N955" s="2"/>
    </row>
    <row r="956" spans="1:14" ht="16.5" customHeight="1">
      <c r="A956" s="2"/>
      <c r="N956" s="2"/>
    </row>
    <row r="957" spans="1:14" ht="16.5" customHeight="1">
      <c r="A957" s="2"/>
      <c r="N957" s="2"/>
    </row>
    <row r="958" spans="1:14" ht="16.5" customHeight="1">
      <c r="A958" s="2"/>
      <c r="N958" s="2"/>
    </row>
    <row r="959" spans="1:14" ht="16.5" customHeight="1">
      <c r="A959" s="2"/>
      <c r="N959" s="2"/>
    </row>
    <row r="960" spans="1:14" ht="16.5" customHeight="1">
      <c r="A960" s="2"/>
      <c r="N960" s="2"/>
    </row>
    <row r="961" spans="1:14" ht="16.5" customHeight="1">
      <c r="A961" s="2"/>
      <c r="N961" s="2"/>
    </row>
    <row r="962" spans="1:14" ht="16.5" customHeight="1">
      <c r="A962" s="2"/>
      <c r="N962" s="2"/>
    </row>
    <row r="963" spans="1:14" ht="16.5" customHeight="1">
      <c r="A963" s="2"/>
      <c r="N963" s="2"/>
    </row>
    <row r="964" spans="1:14" ht="16.5" customHeight="1">
      <c r="A964" s="2"/>
      <c r="N964" s="2"/>
    </row>
    <row r="965" spans="1:14" ht="16.5" customHeight="1">
      <c r="A965" s="2"/>
      <c r="N965" s="2"/>
    </row>
    <row r="966" spans="1:14" ht="16.5" customHeight="1">
      <c r="A966" s="2"/>
      <c r="N966" s="2"/>
    </row>
    <row r="967" spans="1:14" ht="16.5" customHeight="1">
      <c r="A967" s="2"/>
      <c r="N967" s="2"/>
    </row>
    <row r="968" spans="1:14" ht="16.5" customHeight="1">
      <c r="A968" s="2"/>
      <c r="N968" s="2"/>
    </row>
    <row r="969" spans="1:14" ht="16.5" customHeight="1">
      <c r="A969" s="2"/>
      <c r="N969" s="2"/>
    </row>
    <row r="970" spans="1:14" ht="16.5" customHeight="1">
      <c r="A970" s="2"/>
      <c r="N970" s="2"/>
    </row>
    <row r="971" spans="1:14" ht="16.5" customHeight="1">
      <c r="A971" s="2"/>
      <c r="N971" s="2"/>
    </row>
    <row r="972" spans="1:14" ht="16.5" customHeight="1">
      <c r="A972" s="2"/>
      <c r="N972" s="2"/>
    </row>
    <row r="973" spans="1:14" ht="16.5" customHeight="1">
      <c r="A973" s="2"/>
      <c r="N973" s="2"/>
    </row>
    <row r="974" spans="1:14" ht="16.5" customHeight="1">
      <c r="A974" s="2"/>
      <c r="N974" s="2"/>
    </row>
    <row r="975" spans="1:14" ht="16.5" customHeight="1">
      <c r="A975" s="2"/>
      <c r="N975" s="2"/>
    </row>
    <row r="976" spans="1:14" ht="16.5" customHeight="1">
      <c r="A976" s="2"/>
      <c r="N976" s="2"/>
    </row>
    <row r="977" spans="1:14" ht="16.5" customHeight="1">
      <c r="A977" s="2"/>
      <c r="N977" s="2"/>
    </row>
    <row r="978" spans="1:14" ht="16.5" customHeight="1">
      <c r="A978" s="2"/>
      <c r="N978" s="2"/>
    </row>
    <row r="979" spans="1:14" ht="16.5" customHeight="1">
      <c r="A979" s="2"/>
      <c r="N979" s="2"/>
    </row>
    <row r="980" spans="1:14" ht="16.5" customHeight="1">
      <c r="A980" s="2"/>
      <c r="N980" s="2"/>
    </row>
    <row r="981" spans="1:14" ht="16.5" customHeight="1">
      <c r="A981" s="2"/>
      <c r="N981" s="2"/>
    </row>
    <row r="982" spans="1:14" ht="16.5" customHeight="1">
      <c r="A982" s="2"/>
      <c r="N982" s="2"/>
    </row>
    <row r="983" spans="1:14" ht="16.5" customHeight="1">
      <c r="A983" s="2"/>
      <c r="N983" s="2"/>
    </row>
    <row r="984" spans="1:14" ht="16.5" customHeight="1">
      <c r="A984" s="2"/>
      <c r="N984" s="2"/>
    </row>
    <row r="985" spans="1:14" ht="16.5" customHeight="1">
      <c r="A985" s="2"/>
      <c r="N985" s="2"/>
    </row>
    <row r="986" spans="1:14" ht="16.5" customHeight="1">
      <c r="A986" s="2"/>
      <c r="N986" s="2"/>
    </row>
    <row r="987" spans="1:14" ht="16.5" customHeight="1">
      <c r="A987" s="2"/>
      <c r="N987" s="2"/>
    </row>
    <row r="988" spans="1:14" ht="16.5" customHeight="1">
      <c r="A988" s="2"/>
      <c r="N988" s="2"/>
    </row>
    <row r="989" spans="1:14" ht="16.5" customHeight="1">
      <c r="A989" s="2"/>
      <c r="N989" s="2"/>
    </row>
    <row r="990" spans="1:14" ht="16.5" customHeight="1">
      <c r="A990" s="2"/>
      <c r="N990" s="2"/>
    </row>
    <row r="991" spans="1:14" ht="16.5" customHeight="1">
      <c r="A991" s="2"/>
      <c r="N991" s="2"/>
    </row>
    <row r="992" spans="1:14" ht="16.5" customHeight="1">
      <c r="A992" s="2"/>
      <c r="N992" s="2"/>
    </row>
    <row r="993" spans="1:14" ht="16.5" customHeight="1">
      <c r="A993" s="2"/>
      <c r="N993" s="2"/>
    </row>
    <row r="994" spans="1:14" ht="16.5" customHeight="1">
      <c r="A994" s="2"/>
      <c r="N994" s="2"/>
    </row>
    <row r="995" spans="1:14" ht="16.5" customHeight="1">
      <c r="A995" s="2"/>
      <c r="N995" s="2"/>
    </row>
    <row r="996" spans="1:14" ht="16.5" customHeight="1">
      <c r="A996" s="2"/>
      <c r="N996" s="2"/>
    </row>
    <row r="997" spans="1:14" ht="16.5" customHeight="1">
      <c r="A997" s="2"/>
      <c r="N997" s="2"/>
    </row>
    <row r="998" spans="1:14" ht="16.5" customHeight="1">
      <c r="A998" s="2"/>
      <c r="N998" s="2"/>
    </row>
    <row r="999" spans="1:14" ht="16.5" customHeight="1">
      <c r="A999" s="2"/>
      <c r="N999" s="2"/>
    </row>
    <row r="1000" spans="1:14" ht="16.5" customHeight="1">
      <c r="A1000" s="2"/>
      <c r="N1000" s="2"/>
    </row>
  </sheetData>
  <mergeCells count="76">
    <mergeCell ref="G37:G38"/>
    <mergeCell ref="H37:H38"/>
    <mergeCell ref="B23:B26"/>
    <mergeCell ref="M23:N24"/>
    <mergeCell ref="M27:N30"/>
    <mergeCell ref="B31:B36"/>
    <mergeCell ref="M5:M10"/>
    <mergeCell ref="N5:N22"/>
    <mergeCell ref="B11:B16"/>
    <mergeCell ref="M11:M16"/>
    <mergeCell ref="B17:B22"/>
    <mergeCell ref="M17:M22"/>
    <mergeCell ref="A1:O1"/>
    <mergeCell ref="A2:O2"/>
    <mergeCell ref="O3:O4"/>
    <mergeCell ref="M3:N3"/>
    <mergeCell ref="K3:L3"/>
    <mergeCell ref="I3:J3"/>
    <mergeCell ref="G3:H3"/>
    <mergeCell ref="A3:A4"/>
    <mergeCell ref="F3:F4"/>
    <mergeCell ref="E3:E4"/>
    <mergeCell ref="D3:D4"/>
    <mergeCell ref="C3:C4"/>
    <mergeCell ref="B3:B4"/>
    <mergeCell ref="A42:A51"/>
    <mergeCell ref="M42:N51"/>
    <mergeCell ref="B43:B47"/>
    <mergeCell ref="B48:B51"/>
    <mergeCell ref="M25:N26"/>
    <mergeCell ref="B27:B30"/>
    <mergeCell ref="M31:N36"/>
    <mergeCell ref="D37:D38"/>
    <mergeCell ref="M37:N38"/>
    <mergeCell ref="B37:B38"/>
    <mergeCell ref="B39:B40"/>
    <mergeCell ref="M39:N40"/>
    <mergeCell ref="A41:D41"/>
    <mergeCell ref="M41:N41"/>
    <mergeCell ref="A5:A40"/>
    <mergeCell ref="B5:B10"/>
    <mergeCell ref="A52:A61"/>
    <mergeCell ref="M52:N61"/>
    <mergeCell ref="B53:B56"/>
    <mergeCell ref="B57:B61"/>
    <mergeCell ref="M83:N98"/>
    <mergeCell ref="M66:N82"/>
    <mergeCell ref="A62:A63"/>
    <mergeCell ref="B62:B63"/>
    <mergeCell ref="M62:N63"/>
    <mergeCell ref="A64:A65"/>
    <mergeCell ref="B64:B65"/>
    <mergeCell ref="M64:N65"/>
    <mergeCell ref="A66:A82"/>
    <mergeCell ref="A83:A98"/>
    <mergeCell ref="B67:B68"/>
    <mergeCell ref="B70:B74"/>
    <mergeCell ref="B75:B80"/>
    <mergeCell ref="B81:B82"/>
    <mergeCell ref="B86:B90"/>
    <mergeCell ref="B91:B96"/>
    <mergeCell ref="A105:D105"/>
    <mergeCell ref="B97:B98"/>
    <mergeCell ref="B99:B100"/>
    <mergeCell ref="B101:B104"/>
    <mergeCell ref="A106:D106"/>
    <mergeCell ref="A107:D107"/>
    <mergeCell ref="A108:D108"/>
    <mergeCell ref="M99:N100"/>
    <mergeCell ref="M101:N104"/>
    <mergeCell ref="A99:A100"/>
    <mergeCell ref="A101:A104"/>
    <mergeCell ref="M105:N105"/>
    <mergeCell ref="M106:N106"/>
    <mergeCell ref="M107:N107"/>
    <mergeCell ref="M108:N108"/>
  </mergeCells>
  <phoneticPr fontId="15" type="noConversion"/>
  <conditionalFormatting sqref="C1:C104">
    <cfRule type="containsText" dxfId="7" priority="1" operator="containsText" text="입력오류">
      <formula>NOT(ISERROR(SEARCH("입력오류",C1)))</formula>
    </cfRule>
  </conditionalFormatting>
  <conditionalFormatting sqref="C109:C1048576">
    <cfRule type="containsText" dxfId="6" priority="3" operator="containsText" text="입력오류">
      <formula>NOT(ISERROR(SEARCH("입력오류",C109)))</formula>
    </cfRule>
  </conditionalFormatting>
  <dataValidations count="3">
    <dataValidation type="list" allowBlank="1" showErrorMessage="1" sqref="C42:C104 C5:C40" xr:uid="{DA832589-0543-4307-808F-03F39B4181B1}">
      <formula1>"공통,일반,진로,융합,진로(전공),융합(전공)"</formula1>
    </dataValidation>
    <dataValidation type="list" allowBlank="1" showErrorMessage="1" sqref="B5 B11 B17 B23 B27 B31 B42:B43 B39 B37 B99 B62:B66 B52 B81 B83:B86 B91 B97 B101" xr:uid="{C807626C-B562-4116-A682-68800BA71991}">
      <formula1>"국어,수학,영어,사회,과학,체육,예술,기술·가정,정보,제2외국어,한문,교양"</formula1>
    </dataValidation>
    <dataValidation type="list" allowBlank="1" showErrorMessage="1" sqref="O42:O104 O5:O40" xr:uid="{838D1E95-9566-42F4-971C-D47254F3247B}">
      <formula1>"성취도 5단계+석차등급O,성취도 5단계+석차등급X,성취도 3단계,이수/미이수"</formula1>
    </dataValidation>
  </dataValidations>
  <pageMargins left="0.7" right="0.7" top="0.75" bottom="0.75" header="0.3" footer="0.3"/>
  <pageSetup paperSize="12" scale="53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O1007"/>
  <sheetViews>
    <sheetView tabSelected="1" zoomScale="85" zoomScaleNormal="85" workbookViewId="0">
      <pane ySplit="4" topLeftCell="A74" activePane="bottomLeft" state="frozen"/>
      <selection sqref="A1:O1"/>
      <selection pane="bottomLeft" activeCell="C38" sqref="C38"/>
    </sheetView>
  </sheetViews>
  <sheetFormatPr defaultColWidth="14.42578125" defaultRowHeight="15" customHeight="1"/>
  <cols>
    <col min="1" max="1" width="11.7109375" customWidth="1"/>
    <col min="2" max="2" width="9.5703125" customWidth="1"/>
    <col min="3" max="3" width="11.85546875" customWidth="1"/>
    <col min="4" max="4" width="24" customWidth="1"/>
    <col min="5" max="5" width="7.85546875" customWidth="1"/>
    <col min="6" max="6" width="7.7109375" customWidth="1"/>
    <col min="7" max="12" width="7.85546875" customWidth="1"/>
    <col min="13" max="13" width="9" customWidth="1"/>
    <col min="14" max="14" width="9.85546875" customWidth="1"/>
    <col min="15" max="15" width="24.140625" style="16" customWidth="1"/>
    <col min="16" max="23" width="9" customWidth="1"/>
  </cols>
  <sheetData>
    <row r="1" spans="1:15" ht="33" customHeight="1">
      <c r="A1" s="134" t="s">
        <v>612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</row>
    <row r="2" spans="1:15" ht="33" customHeight="1" thickBot="1">
      <c r="A2" s="136" t="s">
        <v>607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</row>
    <row r="3" spans="1:15" ht="34.5" customHeight="1">
      <c r="A3" s="144" t="s">
        <v>412</v>
      </c>
      <c r="B3" s="146" t="s">
        <v>0</v>
      </c>
      <c r="C3" s="148" t="s">
        <v>1</v>
      </c>
      <c r="D3" s="146" t="s">
        <v>2</v>
      </c>
      <c r="E3" s="148" t="s">
        <v>3</v>
      </c>
      <c r="F3" s="149" t="s">
        <v>4</v>
      </c>
      <c r="G3" s="151" t="s">
        <v>5</v>
      </c>
      <c r="H3" s="152"/>
      <c r="I3" s="153" t="s">
        <v>6</v>
      </c>
      <c r="J3" s="152"/>
      <c r="K3" s="153" t="s">
        <v>7</v>
      </c>
      <c r="L3" s="152"/>
      <c r="M3" s="154" t="s">
        <v>8</v>
      </c>
      <c r="N3" s="155"/>
      <c r="O3" s="156" t="s">
        <v>9</v>
      </c>
    </row>
    <row r="4" spans="1:15" ht="16.5" customHeight="1" thickBot="1">
      <c r="A4" s="145"/>
      <c r="B4" s="147"/>
      <c r="C4" s="147"/>
      <c r="D4" s="147"/>
      <c r="E4" s="147"/>
      <c r="F4" s="150"/>
      <c r="G4" s="17" t="s">
        <v>10</v>
      </c>
      <c r="H4" s="1" t="s">
        <v>11</v>
      </c>
      <c r="I4" s="1" t="s">
        <v>10</v>
      </c>
      <c r="J4" s="1" t="s">
        <v>11</v>
      </c>
      <c r="K4" s="1" t="s">
        <v>10</v>
      </c>
      <c r="L4" s="1" t="s">
        <v>11</v>
      </c>
      <c r="M4" s="1" t="s">
        <v>0</v>
      </c>
      <c r="N4" s="18" t="s">
        <v>12</v>
      </c>
      <c r="O4" s="157"/>
    </row>
    <row r="5" spans="1:15" ht="16.5" customHeight="1">
      <c r="A5" s="165" t="s">
        <v>13</v>
      </c>
      <c r="B5" s="166" t="s">
        <v>14</v>
      </c>
      <c r="C5" s="31" t="s">
        <v>15</v>
      </c>
      <c r="D5" s="31" t="s">
        <v>16</v>
      </c>
      <c r="E5" s="31">
        <v>4</v>
      </c>
      <c r="F5" s="31">
        <f t="shared" ref="F5:F42" si="0">SUM(G5:L5)</f>
        <v>3</v>
      </c>
      <c r="G5" s="31">
        <v>3</v>
      </c>
      <c r="H5" s="31"/>
      <c r="I5" s="31"/>
      <c r="J5" s="31"/>
      <c r="K5" s="31"/>
      <c r="L5" s="31"/>
      <c r="M5" s="166">
        <f>SUM(G5:L10)</f>
        <v>22</v>
      </c>
      <c r="N5" s="166">
        <f>SUM(M5:M22)</f>
        <v>66</v>
      </c>
      <c r="O5" s="42" t="s">
        <v>17</v>
      </c>
    </row>
    <row r="6" spans="1:15" ht="16.5" customHeight="1">
      <c r="A6" s="159"/>
      <c r="B6" s="167"/>
      <c r="C6" s="31" t="s">
        <v>15</v>
      </c>
      <c r="D6" s="31" t="s">
        <v>18</v>
      </c>
      <c r="E6" s="31">
        <v>4</v>
      </c>
      <c r="F6" s="31">
        <f t="shared" si="0"/>
        <v>3</v>
      </c>
      <c r="G6" s="31"/>
      <c r="H6" s="31">
        <v>3</v>
      </c>
      <c r="I6" s="31"/>
      <c r="J6" s="31"/>
      <c r="K6" s="31"/>
      <c r="L6" s="31"/>
      <c r="M6" s="167"/>
      <c r="N6" s="167"/>
      <c r="O6" s="42" t="s">
        <v>17</v>
      </c>
    </row>
    <row r="7" spans="1:15" ht="16.5" customHeight="1">
      <c r="A7" s="159"/>
      <c r="B7" s="167"/>
      <c r="C7" s="31" t="s">
        <v>19</v>
      </c>
      <c r="D7" s="31" t="s">
        <v>453</v>
      </c>
      <c r="E7" s="31">
        <v>4</v>
      </c>
      <c r="F7" s="31">
        <f t="shared" si="0"/>
        <v>4</v>
      </c>
      <c r="G7" s="31"/>
      <c r="H7" s="31"/>
      <c r="I7" s="31">
        <v>4</v>
      </c>
      <c r="J7" s="31"/>
      <c r="K7" s="31"/>
      <c r="L7" s="31"/>
      <c r="M7" s="167"/>
      <c r="N7" s="167"/>
      <c r="O7" s="42" t="s">
        <v>17</v>
      </c>
    </row>
    <row r="8" spans="1:15" ht="16.5" customHeight="1">
      <c r="A8" s="159"/>
      <c r="B8" s="167"/>
      <c r="C8" s="31" t="s">
        <v>19</v>
      </c>
      <c r="D8" s="31" t="s">
        <v>418</v>
      </c>
      <c r="E8" s="31">
        <v>4</v>
      </c>
      <c r="F8" s="31">
        <f t="shared" si="0"/>
        <v>4</v>
      </c>
      <c r="G8" s="31"/>
      <c r="H8" s="31"/>
      <c r="I8" s="31"/>
      <c r="J8" s="31">
        <v>4</v>
      </c>
      <c r="K8" s="31"/>
      <c r="L8" s="31"/>
      <c r="M8" s="167"/>
      <c r="N8" s="167"/>
      <c r="O8" s="42" t="s">
        <v>17</v>
      </c>
    </row>
    <row r="9" spans="1:15" ht="16.5" customHeight="1">
      <c r="A9" s="159"/>
      <c r="B9" s="167"/>
      <c r="C9" s="31" t="s">
        <v>19</v>
      </c>
      <c r="D9" s="31" t="s">
        <v>419</v>
      </c>
      <c r="E9" s="31">
        <v>4</v>
      </c>
      <c r="F9" s="31">
        <f t="shared" si="0"/>
        <v>4</v>
      </c>
      <c r="G9" s="31"/>
      <c r="H9" s="31"/>
      <c r="I9" s="31"/>
      <c r="J9" s="31"/>
      <c r="K9" s="31">
        <v>4</v>
      </c>
      <c r="L9" s="31"/>
      <c r="M9" s="167"/>
      <c r="N9" s="167"/>
      <c r="O9" s="42" t="s">
        <v>17</v>
      </c>
    </row>
    <row r="10" spans="1:15" ht="16.5" customHeight="1">
      <c r="A10" s="159"/>
      <c r="B10" s="168"/>
      <c r="C10" s="31" t="s">
        <v>37</v>
      </c>
      <c r="D10" s="31" t="s">
        <v>429</v>
      </c>
      <c r="E10" s="31">
        <v>4</v>
      </c>
      <c r="F10" s="31">
        <f t="shared" si="0"/>
        <v>4</v>
      </c>
      <c r="G10" s="31"/>
      <c r="H10" s="31"/>
      <c r="I10" s="31"/>
      <c r="J10" s="31"/>
      <c r="K10" s="31"/>
      <c r="L10" s="31">
        <v>4</v>
      </c>
      <c r="M10" s="168"/>
      <c r="N10" s="167"/>
      <c r="O10" s="42" t="s">
        <v>17</v>
      </c>
    </row>
    <row r="11" spans="1:15" ht="16.5" customHeight="1">
      <c r="A11" s="159"/>
      <c r="B11" s="169" t="s">
        <v>20</v>
      </c>
      <c r="C11" s="31" t="s">
        <v>15</v>
      </c>
      <c r="D11" s="31" t="s">
        <v>21</v>
      </c>
      <c r="E11" s="31">
        <v>4</v>
      </c>
      <c r="F11" s="31">
        <f t="shared" si="0"/>
        <v>3</v>
      </c>
      <c r="G11" s="31">
        <v>3</v>
      </c>
      <c r="H11" s="31"/>
      <c r="I11" s="31"/>
      <c r="J11" s="31"/>
      <c r="K11" s="31"/>
      <c r="L11" s="31"/>
      <c r="M11" s="169">
        <f>SUM(G11:L16)</f>
        <v>22</v>
      </c>
      <c r="N11" s="167"/>
      <c r="O11" s="42" t="s">
        <v>17</v>
      </c>
    </row>
    <row r="12" spans="1:15" ht="16.5" customHeight="1">
      <c r="A12" s="159"/>
      <c r="B12" s="167"/>
      <c r="C12" s="31" t="s">
        <v>15</v>
      </c>
      <c r="D12" s="31" t="s">
        <v>22</v>
      </c>
      <c r="E12" s="31">
        <v>4</v>
      </c>
      <c r="F12" s="31">
        <f t="shared" si="0"/>
        <v>3</v>
      </c>
      <c r="G12" s="31"/>
      <c r="H12" s="31">
        <v>3</v>
      </c>
      <c r="I12" s="31"/>
      <c r="J12" s="31"/>
      <c r="K12" s="31"/>
      <c r="L12" s="31"/>
      <c r="M12" s="167"/>
      <c r="N12" s="167"/>
      <c r="O12" s="42" t="s">
        <v>17</v>
      </c>
    </row>
    <row r="13" spans="1:15" ht="16.5" customHeight="1">
      <c r="A13" s="159"/>
      <c r="B13" s="167"/>
      <c r="C13" s="31" t="s">
        <v>19</v>
      </c>
      <c r="D13" s="31" t="s">
        <v>420</v>
      </c>
      <c r="E13" s="31">
        <v>4</v>
      </c>
      <c r="F13" s="31">
        <f t="shared" si="0"/>
        <v>4</v>
      </c>
      <c r="G13" s="31"/>
      <c r="H13" s="31"/>
      <c r="I13" s="31">
        <v>4</v>
      </c>
      <c r="J13" s="31"/>
      <c r="K13" s="31"/>
      <c r="L13" s="31"/>
      <c r="M13" s="167"/>
      <c r="N13" s="167"/>
      <c r="O13" s="42" t="s">
        <v>17</v>
      </c>
    </row>
    <row r="14" spans="1:15" ht="16.5" customHeight="1">
      <c r="A14" s="159"/>
      <c r="B14" s="167"/>
      <c r="C14" s="31" t="s">
        <v>19</v>
      </c>
      <c r="D14" s="31" t="s">
        <v>454</v>
      </c>
      <c r="E14" s="31">
        <v>4</v>
      </c>
      <c r="F14" s="31">
        <f t="shared" si="0"/>
        <v>4</v>
      </c>
      <c r="G14" s="31"/>
      <c r="H14" s="31"/>
      <c r="I14" s="31"/>
      <c r="J14" s="31">
        <v>4</v>
      </c>
      <c r="K14" s="31"/>
      <c r="L14" s="31"/>
      <c r="M14" s="167"/>
      <c r="N14" s="167"/>
      <c r="O14" s="42" t="s">
        <v>17</v>
      </c>
    </row>
    <row r="15" spans="1:15" ht="16.5" customHeight="1">
      <c r="A15" s="159"/>
      <c r="B15" s="167"/>
      <c r="C15" s="31" t="s">
        <v>19</v>
      </c>
      <c r="D15" s="31" t="s">
        <v>421</v>
      </c>
      <c r="E15" s="31">
        <v>4</v>
      </c>
      <c r="F15" s="31">
        <f t="shared" si="0"/>
        <v>4</v>
      </c>
      <c r="G15" s="31"/>
      <c r="H15" s="31"/>
      <c r="I15" s="31"/>
      <c r="J15" s="31"/>
      <c r="K15" s="31">
        <v>4</v>
      </c>
      <c r="L15" s="31"/>
      <c r="M15" s="167"/>
      <c r="N15" s="167"/>
      <c r="O15" s="42" t="s">
        <v>17</v>
      </c>
    </row>
    <row r="16" spans="1:15" ht="16.5" customHeight="1">
      <c r="A16" s="159"/>
      <c r="B16" s="168"/>
      <c r="C16" s="31" t="s">
        <v>38</v>
      </c>
      <c r="D16" s="31" t="s">
        <v>455</v>
      </c>
      <c r="E16" s="31">
        <v>4</v>
      </c>
      <c r="F16" s="31">
        <f t="shared" si="0"/>
        <v>4</v>
      </c>
      <c r="G16" s="31"/>
      <c r="H16" s="31"/>
      <c r="I16" s="31"/>
      <c r="J16" s="31"/>
      <c r="K16" s="31"/>
      <c r="L16" s="31">
        <v>4</v>
      </c>
      <c r="M16" s="168"/>
      <c r="N16" s="167"/>
      <c r="O16" s="42" t="s">
        <v>17</v>
      </c>
    </row>
    <row r="17" spans="1:15" ht="16.5" customHeight="1">
      <c r="A17" s="159"/>
      <c r="B17" s="169" t="s">
        <v>23</v>
      </c>
      <c r="C17" s="31" t="s">
        <v>15</v>
      </c>
      <c r="D17" s="31" t="s">
        <v>24</v>
      </c>
      <c r="E17" s="31">
        <v>4</v>
      </c>
      <c r="F17" s="31">
        <f t="shared" si="0"/>
        <v>3</v>
      </c>
      <c r="G17" s="31">
        <v>3</v>
      </c>
      <c r="H17" s="31"/>
      <c r="I17" s="31"/>
      <c r="J17" s="31"/>
      <c r="K17" s="31"/>
      <c r="L17" s="31"/>
      <c r="M17" s="169">
        <f>SUM(G17:L22)</f>
        <v>22</v>
      </c>
      <c r="N17" s="167"/>
      <c r="O17" s="42" t="s">
        <v>17</v>
      </c>
    </row>
    <row r="18" spans="1:15" ht="16.5" customHeight="1">
      <c r="A18" s="159"/>
      <c r="B18" s="167"/>
      <c r="C18" s="31" t="s">
        <v>15</v>
      </c>
      <c r="D18" s="31" t="s">
        <v>25</v>
      </c>
      <c r="E18" s="31">
        <v>4</v>
      </c>
      <c r="F18" s="31">
        <f t="shared" si="0"/>
        <v>3</v>
      </c>
      <c r="G18" s="31"/>
      <c r="H18" s="31">
        <v>3</v>
      </c>
      <c r="I18" s="31"/>
      <c r="J18" s="31"/>
      <c r="K18" s="31"/>
      <c r="L18" s="31"/>
      <c r="M18" s="167"/>
      <c r="N18" s="167"/>
      <c r="O18" s="42" t="s">
        <v>17</v>
      </c>
    </row>
    <row r="19" spans="1:15" ht="16.5" customHeight="1">
      <c r="A19" s="159"/>
      <c r="B19" s="167"/>
      <c r="C19" s="31" t="s">
        <v>19</v>
      </c>
      <c r="D19" s="31" t="s">
        <v>422</v>
      </c>
      <c r="E19" s="31">
        <v>4</v>
      </c>
      <c r="F19" s="31">
        <f t="shared" si="0"/>
        <v>4</v>
      </c>
      <c r="G19" s="31"/>
      <c r="H19" s="31"/>
      <c r="I19" s="31">
        <v>4</v>
      </c>
      <c r="J19" s="31"/>
      <c r="K19" s="31"/>
      <c r="L19" s="31"/>
      <c r="M19" s="167"/>
      <c r="N19" s="167"/>
      <c r="O19" s="42" t="s">
        <v>17</v>
      </c>
    </row>
    <row r="20" spans="1:15" ht="16.5" customHeight="1">
      <c r="A20" s="159"/>
      <c r="B20" s="167"/>
      <c r="C20" s="31" t="s">
        <v>19</v>
      </c>
      <c r="D20" s="31" t="s">
        <v>423</v>
      </c>
      <c r="E20" s="31">
        <v>4</v>
      </c>
      <c r="F20" s="31">
        <f t="shared" si="0"/>
        <v>4</v>
      </c>
      <c r="G20" s="31"/>
      <c r="H20" s="31"/>
      <c r="I20" s="31"/>
      <c r="J20" s="31">
        <v>4</v>
      </c>
      <c r="K20" s="31"/>
      <c r="L20" s="31"/>
      <c r="M20" s="167"/>
      <c r="N20" s="167"/>
      <c r="O20" s="42" t="s">
        <v>17</v>
      </c>
    </row>
    <row r="21" spans="1:15" ht="16.5" customHeight="1">
      <c r="A21" s="159"/>
      <c r="B21" s="167"/>
      <c r="C21" s="31" t="s">
        <v>19</v>
      </c>
      <c r="D21" s="31" t="s">
        <v>430</v>
      </c>
      <c r="E21" s="31">
        <v>4</v>
      </c>
      <c r="F21" s="31">
        <f t="shared" si="0"/>
        <v>4</v>
      </c>
      <c r="G21" s="31"/>
      <c r="H21" s="31"/>
      <c r="I21" s="31"/>
      <c r="J21" s="31"/>
      <c r="K21" s="31">
        <v>4</v>
      </c>
      <c r="L21" s="31"/>
      <c r="M21" s="167"/>
      <c r="N21" s="167"/>
      <c r="O21" s="42" t="s">
        <v>17</v>
      </c>
    </row>
    <row r="22" spans="1:15" ht="16.5" customHeight="1">
      <c r="A22" s="159"/>
      <c r="B22" s="168"/>
      <c r="C22" s="31" t="s">
        <v>37</v>
      </c>
      <c r="D22" s="31" t="s">
        <v>456</v>
      </c>
      <c r="E22" s="31">
        <v>4</v>
      </c>
      <c r="F22" s="31">
        <f t="shared" si="0"/>
        <v>4</v>
      </c>
      <c r="G22" s="31"/>
      <c r="H22" s="31"/>
      <c r="I22" s="31"/>
      <c r="J22" s="31"/>
      <c r="K22" s="31"/>
      <c r="L22" s="31">
        <v>4</v>
      </c>
      <c r="M22" s="168"/>
      <c r="N22" s="168"/>
      <c r="O22" s="42" t="s">
        <v>17</v>
      </c>
    </row>
    <row r="23" spans="1:15" ht="16.5" customHeight="1">
      <c r="A23" s="159"/>
      <c r="B23" s="169" t="s">
        <v>424</v>
      </c>
      <c r="C23" s="31" t="s">
        <v>15</v>
      </c>
      <c r="D23" s="31" t="s">
        <v>26</v>
      </c>
      <c r="E23" s="31">
        <v>3</v>
      </c>
      <c r="F23" s="31">
        <f t="shared" si="0"/>
        <v>3</v>
      </c>
      <c r="G23" s="31">
        <v>3</v>
      </c>
      <c r="H23" s="31"/>
      <c r="I23" s="31"/>
      <c r="J23" s="31"/>
      <c r="K23" s="31"/>
      <c r="L23" s="31"/>
      <c r="M23" s="190">
        <f>SUM(G23:L24)</f>
        <v>6</v>
      </c>
      <c r="N23" s="191"/>
      <c r="O23" s="42" t="s">
        <v>17</v>
      </c>
    </row>
    <row r="24" spans="1:15" ht="16.5" customHeight="1">
      <c r="A24" s="159"/>
      <c r="B24" s="167"/>
      <c r="C24" s="31" t="s">
        <v>15</v>
      </c>
      <c r="D24" s="31" t="s">
        <v>27</v>
      </c>
      <c r="E24" s="31">
        <v>3</v>
      </c>
      <c r="F24" s="31">
        <f t="shared" si="0"/>
        <v>3</v>
      </c>
      <c r="G24" s="31"/>
      <c r="H24" s="31">
        <v>3</v>
      </c>
      <c r="I24" s="31"/>
      <c r="J24" s="31"/>
      <c r="K24" s="31"/>
      <c r="L24" s="31"/>
      <c r="M24" s="198"/>
      <c r="N24" s="199"/>
      <c r="O24" s="42" t="s">
        <v>17</v>
      </c>
    </row>
    <row r="25" spans="1:15" ht="16.5" customHeight="1">
      <c r="A25" s="159"/>
      <c r="B25" s="167"/>
      <c r="C25" s="31" t="s">
        <v>15</v>
      </c>
      <c r="D25" s="31" t="s">
        <v>28</v>
      </c>
      <c r="E25" s="31">
        <v>4</v>
      </c>
      <c r="F25" s="31">
        <f t="shared" si="0"/>
        <v>4</v>
      </c>
      <c r="G25" s="31">
        <v>4</v>
      </c>
      <c r="H25" s="31"/>
      <c r="I25" s="31"/>
      <c r="J25" s="31"/>
      <c r="K25" s="31"/>
      <c r="L25" s="31"/>
      <c r="M25" s="190">
        <f>SUM(G25:L28)</f>
        <v>16</v>
      </c>
      <c r="N25" s="191"/>
      <c r="O25" s="42" t="s">
        <v>17</v>
      </c>
    </row>
    <row r="26" spans="1:15" ht="16.5" customHeight="1">
      <c r="A26" s="159"/>
      <c r="B26" s="168"/>
      <c r="C26" s="31" t="s">
        <v>15</v>
      </c>
      <c r="D26" s="31" t="s">
        <v>29</v>
      </c>
      <c r="E26" s="31">
        <v>4</v>
      </c>
      <c r="F26" s="31">
        <f t="shared" si="0"/>
        <v>4</v>
      </c>
      <c r="G26" s="31"/>
      <c r="H26" s="31">
        <v>4</v>
      </c>
      <c r="I26" s="31"/>
      <c r="J26" s="31"/>
      <c r="K26" s="31"/>
      <c r="L26" s="31"/>
      <c r="M26" s="198"/>
      <c r="N26" s="199"/>
      <c r="O26" s="42" t="s">
        <v>17</v>
      </c>
    </row>
    <row r="27" spans="1:15" ht="16.5" customHeight="1">
      <c r="A27" s="159"/>
      <c r="B27" s="169" t="s">
        <v>425</v>
      </c>
      <c r="C27" s="31" t="s">
        <v>15</v>
      </c>
      <c r="D27" s="31" t="s">
        <v>30</v>
      </c>
      <c r="E27" s="31">
        <v>4</v>
      </c>
      <c r="F27" s="31">
        <f t="shared" si="0"/>
        <v>4</v>
      </c>
      <c r="G27" s="31">
        <v>4</v>
      </c>
      <c r="H27" s="31"/>
      <c r="I27" s="31"/>
      <c r="J27" s="31"/>
      <c r="K27" s="31"/>
      <c r="L27" s="31"/>
      <c r="M27" s="190">
        <f>SUM(G29:L37)</f>
        <v>18</v>
      </c>
      <c r="N27" s="191"/>
      <c r="O27" s="42" t="s">
        <v>17</v>
      </c>
    </row>
    <row r="28" spans="1:15" ht="16.5" customHeight="1">
      <c r="A28" s="159"/>
      <c r="B28" s="167"/>
      <c r="C28" s="31" t="s">
        <v>15</v>
      </c>
      <c r="D28" s="31" t="s">
        <v>608</v>
      </c>
      <c r="E28" s="31">
        <v>4</v>
      </c>
      <c r="F28" s="31">
        <f t="shared" si="0"/>
        <v>4</v>
      </c>
      <c r="G28" s="31"/>
      <c r="H28" s="31">
        <v>4</v>
      </c>
      <c r="I28" s="31"/>
      <c r="J28" s="31"/>
      <c r="K28" s="31"/>
      <c r="L28" s="31"/>
      <c r="M28" s="196"/>
      <c r="N28" s="197"/>
      <c r="O28" s="42" t="s">
        <v>17</v>
      </c>
    </row>
    <row r="29" spans="1:15" ht="16.5" customHeight="1">
      <c r="A29" s="159"/>
      <c r="B29" s="167"/>
      <c r="C29" s="31" t="s">
        <v>15</v>
      </c>
      <c r="D29" s="31" t="s">
        <v>609</v>
      </c>
      <c r="E29" s="31">
        <v>1</v>
      </c>
      <c r="F29" s="31">
        <f t="shared" si="0"/>
        <v>1</v>
      </c>
      <c r="G29" s="31">
        <v>1</v>
      </c>
      <c r="H29" s="31"/>
      <c r="I29" s="31"/>
      <c r="J29" s="31"/>
      <c r="K29" s="31"/>
      <c r="L29" s="31"/>
      <c r="M29" s="196"/>
      <c r="N29" s="197"/>
      <c r="O29" s="42" t="s">
        <v>33</v>
      </c>
    </row>
    <row r="30" spans="1:15" ht="16.5" customHeight="1">
      <c r="A30" s="159"/>
      <c r="B30" s="168"/>
      <c r="C30" s="31" t="s">
        <v>15</v>
      </c>
      <c r="D30" s="31" t="s">
        <v>34</v>
      </c>
      <c r="E30" s="31">
        <v>1</v>
      </c>
      <c r="F30" s="31">
        <f t="shared" si="0"/>
        <v>1</v>
      </c>
      <c r="G30" s="31"/>
      <c r="H30" s="31">
        <v>1</v>
      </c>
      <c r="I30" s="31"/>
      <c r="J30" s="31"/>
      <c r="K30" s="31"/>
      <c r="L30" s="31"/>
      <c r="M30" s="198"/>
      <c r="N30" s="199"/>
      <c r="O30" s="42" t="s">
        <v>33</v>
      </c>
    </row>
    <row r="31" spans="1:15" ht="16.5" customHeight="1">
      <c r="A31" s="159"/>
      <c r="B31" s="170" t="s">
        <v>426</v>
      </c>
      <c r="C31" s="31" t="s">
        <v>19</v>
      </c>
      <c r="D31" s="31" t="s">
        <v>35</v>
      </c>
      <c r="E31" s="31">
        <v>3</v>
      </c>
      <c r="F31" s="31">
        <f t="shared" si="0"/>
        <v>2</v>
      </c>
      <c r="G31" s="31">
        <v>2</v>
      </c>
      <c r="H31" s="31"/>
      <c r="I31" s="31"/>
      <c r="J31" s="31"/>
      <c r="K31" s="31"/>
      <c r="L31" s="31"/>
      <c r="M31" s="200">
        <f>SUM(G31:L36)</f>
        <v>10</v>
      </c>
      <c r="N31" s="201"/>
      <c r="O31" s="42" t="s">
        <v>33</v>
      </c>
    </row>
    <row r="32" spans="1:15" ht="16.5" customHeight="1">
      <c r="A32" s="159"/>
      <c r="B32" s="171"/>
      <c r="C32" s="31" t="s">
        <v>19</v>
      </c>
      <c r="D32" s="31" t="s">
        <v>36</v>
      </c>
      <c r="E32" s="31">
        <v>3</v>
      </c>
      <c r="F32" s="31">
        <f t="shared" si="0"/>
        <v>2</v>
      </c>
      <c r="G32" s="31"/>
      <c r="H32" s="31">
        <v>2</v>
      </c>
      <c r="I32" s="31"/>
      <c r="J32" s="31"/>
      <c r="K32" s="31"/>
      <c r="L32" s="31"/>
      <c r="M32" s="202"/>
      <c r="N32" s="203"/>
      <c r="O32" s="42" t="s">
        <v>33</v>
      </c>
    </row>
    <row r="33" spans="1:15" ht="16.5" customHeight="1">
      <c r="A33" s="159"/>
      <c r="B33" s="171"/>
      <c r="C33" s="31" t="s">
        <v>38</v>
      </c>
      <c r="D33" s="31" t="s">
        <v>499</v>
      </c>
      <c r="E33" s="31">
        <v>3</v>
      </c>
      <c r="F33" s="31">
        <f t="shared" si="0"/>
        <v>2</v>
      </c>
      <c r="G33" s="31"/>
      <c r="H33" s="31"/>
      <c r="I33" s="31">
        <v>2</v>
      </c>
      <c r="J33" s="31"/>
      <c r="K33" s="31"/>
      <c r="L33" s="31"/>
      <c r="M33" s="202"/>
      <c r="N33" s="203"/>
      <c r="O33" s="42" t="s">
        <v>33</v>
      </c>
    </row>
    <row r="34" spans="1:15" ht="16.5" customHeight="1">
      <c r="A34" s="159"/>
      <c r="B34" s="171"/>
      <c r="C34" s="31" t="s">
        <v>38</v>
      </c>
      <c r="D34" s="31" t="s">
        <v>457</v>
      </c>
      <c r="E34" s="31">
        <v>3</v>
      </c>
      <c r="F34" s="31">
        <f t="shared" si="0"/>
        <v>2</v>
      </c>
      <c r="G34" s="31"/>
      <c r="H34" s="31"/>
      <c r="I34" s="31"/>
      <c r="J34" s="31">
        <v>2</v>
      </c>
      <c r="K34" s="31"/>
      <c r="L34" s="31"/>
      <c r="M34" s="202"/>
      <c r="N34" s="203"/>
      <c r="O34" s="42" t="s">
        <v>33</v>
      </c>
    </row>
    <row r="35" spans="1:15" ht="16.5" customHeight="1">
      <c r="A35" s="159"/>
      <c r="B35" s="171"/>
      <c r="C35" s="31" t="s">
        <v>37</v>
      </c>
      <c r="D35" s="31" t="s">
        <v>458</v>
      </c>
      <c r="E35" s="31">
        <v>2</v>
      </c>
      <c r="F35" s="31">
        <f t="shared" si="0"/>
        <v>1</v>
      </c>
      <c r="G35" s="31"/>
      <c r="H35" s="31"/>
      <c r="I35" s="31"/>
      <c r="J35" s="31"/>
      <c r="K35" s="31">
        <v>1</v>
      </c>
      <c r="L35" s="31"/>
      <c r="M35" s="202"/>
      <c r="N35" s="203"/>
      <c r="O35" s="42" t="s">
        <v>33</v>
      </c>
    </row>
    <row r="36" spans="1:15" ht="16.5" customHeight="1">
      <c r="A36" s="159"/>
      <c r="B36" s="172"/>
      <c r="C36" s="31" t="s">
        <v>37</v>
      </c>
      <c r="D36" s="31" t="s">
        <v>459</v>
      </c>
      <c r="E36" s="31">
        <v>2</v>
      </c>
      <c r="F36" s="31">
        <f t="shared" si="0"/>
        <v>1</v>
      </c>
      <c r="G36" s="31"/>
      <c r="H36" s="31"/>
      <c r="I36" s="31"/>
      <c r="J36" s="31"/>
      <c r="K36" s="31"/>
      <c r="L36" s="31">
        <v>1</v>
      </c>
      <c r="M36" s="204"/>
      <c r="N36" s="205"/>
      <c r="O36" s="42" t="s">
        <v>33</v>
      </c>
    </row>
    <row r="37" spans="1:15" ht="16.5" customHeight="1">
      <c r="A37" s="159"/>
      <c r="B37" s="169" t="s">
        <v>427</v>
      </c>
      <c r="C37" s="31" t="s">
        <v>19</v>
      </c>
      <c r="D37" s="169" t="s">
        <v>428</v>
      </c>
      <c r="E37" s="31">
        <v>3</v>
      </c>
      <c r="F37" s="31">
        <v>3</v>
      </c>
      <c r="G37" s="169">
        <v>3</v>
      </c>
      <c r="H37" s="169">
        <v>3</v>
      </c>
      <c r="I37" s="31"/>
      <c r="J37" s="31"/>
      <c r="K37" s="31"/>
      <c r="L37" s="31"/>
      <c r="M37" s="190">
        <f>SUM(G37:L40)</f>
        <v>10</v>
      </c>
      <c r="N37" s="191"/>
      <c r="O37" s="42" t="s">
        <v>33</v>
      </c>
    </row>
    <row r="38" spans="1:15" ht="16.5" customHeight="1">
      <c r="A38" s="159"/>
      <c r="B38" s="167"/>
      <c r="C38" s="31" t="s">
        <v>19</v>
      </c>
      <c r="D38" s="168"/>
      <c r="E38" s="31">
        <v>3</v>
      </c>
      <c r="F38" s="31">
        <v>3</v>
      </c>
      <c r="G38" s="168"/>
      <c r="H38" s="168"/>
      <c r="I38" s="31"/>
      <c r="J38" s="31"/>
      <c r="K38" s="31"/>
      <c r="L38" s="31"/>
      <c r="M38" s="196"/>
      <c r="N38" s="197"/>
      <c r="O38" s="42" t="s">
        <v>33</v>
      </c>
    </row>
    <row r="39" spans="1:15" ht="16.5" customHeight="1">
      <c r="A39" s="159"/>
      <c r="B39" s="167"/>
      <c r="C39" s="31" t="s">
        <v>37</v>
      </c>
      <c r="D39" s="169" t="s">
        <v>498</v>
      </c>
      <c r="E39" s="31">
        <v>3</v>
      </c>
      <c r="F39" s="31">
        <v>2</v>
      </c>
      <c r="G39" s="31"/>
      <c r="H39" s="31"/>
      <c r="I39" s="31"/>
      <c r="J39" s="31"/>
      <c r="K39" s="169">
        <v>2</v>
      </c>
      <c r="L39" s="169">
        <v>2</v>
      </c>
      <c r="M39" s="196"/>
      <c r="N39" s="197"/>
      <c r="O39" s="42" t="s">
        <v>33</v>
      </c>
    </row>
    <row r="40" spans="1:15" ht="16.5" customHeight="1">
      <c r="A40" s="159"/>
      <c r="B40" s="168"/>
      <c r="C40" s="31" t="s">
        <v>37</v>
      </c>
      <c r="D40" s="168"/>
      <c r="E40" s="31">
        <v>3</v>
      </c>
      <c r="F40" s="31">
        <v>2</v>
      </c>
      <c r="G40" s="31"/>
      <c r="H40" s="31"/>
      <c r="I40" s="31"/>
      <c r="J40" s="31"/>
      <c r="K40" s="168"/>
      <c r="L40" s="168"/>
      <c r="M40" s="198"/>
      <c r="N40" s="199"/>
      <c r="O40" s="42" t="s">
        <v>33</v>
      </c>
    </row>
    <row r="41" spans="1:15" ht="16.5" customHeight="1">
      <c r="A41" s="159"/>
      <c r="B41" s="169" t="s">
        <v>40</v>
      </c>
      <c r="C41" s="31" t="s">
        <v>19</v>
      </c>
      <c r="D41" s="31" t="s">
        <v>40</v>
      </c>
      <c r="E41" s="31">
        <v>4</v>
      </c>
      <c r="F41" s="31">
        <f t="shared" si="0"/>
        <v>3</v>
      </c>
      <c r="G41" s="31">
        <v>3</v>
      </c>
      <c r="H41" s="31"/>
      <c r="I41" s="31"/>
      <c r="J41" s="31"/>
      <c r="K41" s="31"/>
      <c r="L41" s="31"/>
      <c r="M41" s="190">
        <f>SUM(G41:L42)</f>
        <v>6</v>
      </c>
      <c r="N41" s="191"/>
      <c r="O41" s="42" t="s">
        <v>17</v>
      </c>
    </row>
    <row r="42" spans="1:15" ht="16.5" customHeight="1" thickBot="1">
      <c r="A42" s="160"/>
      <c r="B42" s="168"/>
      <c r="C42" s="31" t="s">
        <v>37</v>
      </c>
      <c r="D42" s="31" t="s">
        <v>460</v>
      </c>
      <c r="E42" s="31">
        <v>4</v>
      </c>
      <c r="F42" s="31">
        <f t="shared" si="0"/>
        <v>3</v>
      </c>
      <c r="G42" s="31"/>
      <c r="H42" s="31">
        <v>3</v>
      </c>
      <c r="I42" s="31"/>
      <c r="J42" s="31"/>
      <c r="K42" s="31"/>
      <c r="L42" s="31"/>
      <c r="M42" s="192"/>
      <c r="N42" s="193"/>
      <c r="O42" s="42" t="s">
        <v>17</v>
      </c>
    </row>
    <row r="43" spans="1:15" ht="16.5" customHeight="1" thickBot="1">
      <c r="A43" s="96" t="s">
        <v>606</v>
      </c>
      <c r="B43" s="113"/>
      <c r="C43" s="113"/>
      <c r="D43" s="113"/>
      <c r="E43" s="32"/>
      <c r="F43" s="32"/>
      <c r="G43" s="32">
        <f t="shared" ref="G43:L43" si="1">SUM(G5:G42)</f>
        <v>29</v>
      </c>
      <c r="H43" s="32">
        <f t="shared" si="1"/>
        <v>29</v>
      </c>
      <c r="I43" s="32">
        <f t="shared" si="1"/>
        <v>14</v>
      </c>
      <c r="J43" s="32">
        <f t="shared" si="1"/>
        <v>14</v>
      </c>
      <c r="K43" s="32">
        <f t="shared" si="1"/>
        <v>15</v>
      </c>
      <c r="L43" s="32">
        <f t="shared" si="1"/>
        <v>15</v>
      </c>
      <c r="M43" s="194">
        <f>SUM(G43:L43)</f>
        <v>116</v>
      </c>
      <c r="N43" s="195"/>
      <c r="O43" s="43"/>
    </row>
    <row r="44" spans="1:15" ht="16.5" customHeight="1">
      <c r="A44" s="158" t="s">
        <v>41</v>
      </c>
      <c r="B44" s="161" t="s">
        <v>424</v>
      </c>
      <c r="C44" s="31" t="s">
        <v>19</v>
      </c>
      <c r="D44" s="33" t="s">
        <v>433</v>
      </c>
      <c r="E44" s="33">
        <v>4</v>
      </c>
      <c r="F44" s="31">
        <f t="shared" ref="F44:F99" si="2">IF(SUM(G44:L44)&lt;&gt;0,SUM(G44:L44),F43)</f>
        <v>3</v>
      </c>
      <c r="G44" s="33"/>
      <c r="H44" s="33"/>
      <c r="I44" s="34">
        <v>3</v>
      </c>
      <c r="J44" s="33"/>
      <c r="K44" s="33"/>
      <c r="L44" s="33"/>
      <c r="M44" s="188">
        <f>SUM(G44:L52)</f>
        <v>12</v>
      </c>
      <c r="N44" s="189"/>
      <c r="O44" s="42" t="s">
        <v>17</v>
      </c>
    </row>
    <row r="45" spans="1:15" ht="16.5" customHeight="1">
      <c r="A45" s="159"/>
      <c r="B45" s="116"/>
      <c r="C45" s="31" t="s">
        <v>19</v>
      </c>
      <c r="D45" s="33" t="s">
        <v>449</v>
      </c>
      <c r="E45" s="33">
        <v>4</v>
      </c>
      <c r="F45" s="31">
        <f t="shared" si="2"/>
        <v>3</v>
      </c>
      <c r="G45" s="33"/>
      <c r="H45" s="33"/>
      <c r="I45" s="34">
        <v>3</v>
      </c>
      <c r="J45" s="33"/>
      <c r="K45" s="33"/>
      <c r="L45" s="33"/>
      <c r="M45" s="182"/>
      <c r="N45" s="183"/>
      <c r="O45" s="42" t="s">
        <v>17</v>
      </c>
    </row>
    <row r="46" spans="1:15" ht="16.5" customHeight="1">
      <c r="A46" s="159"/>
      <c r="B46" s="116"/>
      <c r="C46" s="31" t="s">
        <v>19</v>
      </c>
      <c r="D46" s="33" t="s">
        <v>432</v>
      </c>
      <c r="E46" s="33">
        <v>4</v>
      </c>
      <c r="F46" s="31">
        <f t="shared" si="2"/>
        <v>3</v>
      </c>
      <c r="G46" s="33"/>
      <c r="H46" s="33"/>
      <c r="I46" s="34">
        <v>3</v>
      </c>
      <c r="J46" s="33"/>
      <c r="K46" s="33"/>
      <c r="L46" s="33"/>
      <c r="M46" s="182"/>
      <c r="N46" s="183"/>
      <c r="O46" s="42" t="s">
        <v>17</v>
      </c>
    </row>
    <row r="47" spans="1:15" ht="16.5" customHeight="1">
      <c r="A47" s="159"/>
      <c r="B47" s="116"/>
      <c r="C47" s="31" t="s">
        <v>19</v>
      </c>
      <c r="D47" s="33" t="s">
        <v>431</v>
      </c>
      <c r="E47" s="33">
        <v>4</v>
      </c>
      <c r="F47" s="31">
        <f t="shared" si="2"/>
        <v>3</v>
      </c>
      <c r="G47" s="33"/>
      <c r="H47" s="33"/>
      <c r="I47" s="34">
        <v>3</v>
      </c>
      <c r="J47" s="33"/>
      <c r="K47" s="33"/>
      <c r="L47" s="33"/>
      <c r="M47" s="182"/>
      <c r="N47" s="183"/>
      <c r="O47" s="42" t="s">
        <v>17</v>
      </c>
    </row>
    <row r="48" spans="1:15" ht="16.5" customHeight="1">
      <c r="A48" s="159"/>
      <c r="B48" s="115"/>
      <c r="C48" s="31" t="s">
        <v>37</v>
      </c>
      <c r="D48" s="33" t="s">
        <v>461</v>
      </c>
      <c r="E48" s="33">
        <v>4</v>
      </c>
      <c r="F48" s="31">
        <f t="shared" si="2"/>
        <v>3</v>
      </c>
      <c r="G48" s="33"/>
      <c r="H48" s="33"/>
      <c r="I48" s="34"/>
      <c r="J48" s="33"/>
      <c r="K48" s="33"/>
      <c r="L48" s="33"/>
      <c r="M48" s="182"/>
      <c r="N48" s="183"/>
      <c r="O48" s="42" t="s">
        <v>17</v>
      </c>
    </row>
    <row r="49" spans="1:15" ht="16.5" customHeight="1">
      <c r="A49" s="159"/>
      <c r="B49" s="162" t="s">
        <v>505</v>
      </c>
      <c r="C49" s="31" t="s">
        <v>19</v>
      </c>
      <c r="D49" s="50" t="s">
        <v>434</v>
      </c>
      <c r="E49" s="33">
        <v>4</v>
      </c>
      <c r="F49" s="31">
        <f t="shared" si="2"/>
        <v>3</v>
      </c>
      <c r="G49" s="33"/>
      <c r="H49" s="33"/>
      <c r="I49" s="34"/>
      <c r="J49" s="33"/>
      <c r="K49" s="33"/>
      <c r="L49" s="33"/>
      <c r="M49" s="182"/>
      <c r="N49" s="183"/>
      <c r="O49" s="42" t="s">
        <v>17</v>
      </c>
    </row>
    <row r="50" spans="1:15" ht="16.5" customHeight="1">
      <c r="A50" s="159"/>
      <c r="B50" s="163"/>
      <c r="C50" s="31" t="s">
        <v>19</v>
      </c>
      <c r="D50" s="50" t="s">
        <v>435</v>
      </c>
      <c r="E50" s="33">
        <v>4</v>
      </c>
      <c r="F50" s="31">
        <f t="shared" si="2"/>
        <v>3</v>
      </c>
      <c r="G50" s="33"/>
      <c r="H50" s="33"/>
      <c r="I50" s="34"/>
      <c r="J50" s="33"/>
      <c r="K50" s="33"/>
      <c r="L50" s="33"/>
      <c r="M50" s="182"/>
      <c r="N50" s="183"/>
      <c r="O50" s="42" t="s">
        <v>17</v>
      </c>
    </row>
    <row r="51" spans="1:15" ht="16.5" customHeight="1">
      <c r="A51" s="159"/>
      <c r="B51" s="163"/>
      <c r="C51" s="31" t="s">
        <v>19</v>
      </c>
      <c r="D51" s="50" t="s">
        <v>436</v>
      </c>
      <c r="E51" s="33">
        <v>4</v>
      </c>
      <c r="F51" s="31">
        <f t="shared" si="2"/>
        <v>3</v>
      </c>
      <c r="G51" s="33"/>
      <c r="H51" s="33"/>
      <c r="I51" s="34"/>
      <c r="J51" s="33"/>
      <c r="K51" s="33"/>
      <c r="L51" s="33"/>
      <c r="M51" s="182"/>
      <c r="N51" s="183"/>
      <c r="O51" s="42" t="s">
        <v>17</v>
      </c>
    </row>
    <row r="52" spans="1:15" ht="16.5" customHeight="1">
      <c r="A52" s="160"/>
      <c r="B52" s="164"/>
      <c r="C52" s="31" t="s">
        <v>19</v>
      </c>
      <c r="D52" s="50" t="s">
        <v>437</v>
      </c>
      <c r="E52" s="33">
        <v>4</v>
      </c>
      <c r="F52" s="31">
        <f t="shared" si="2"/>
        <v>3</v>
      </c>
      <c r="G52" s="33"/>
      <c r="H52" s="33"/>
      <c r="I52" s="33"/>
      <c r="J52" s="33"/>
      <c r="K52" s="33"/>
      <c r="L52" s="33"/>
      <c r="M52" s="184"/>
      <c r="N52" s="185"/>
      <c r="O52" s="42" t="s">
        <v>17</v>
      </c>
    </row>
    <row r="53" spans="1:15" ht="16.5" customHeight="1">
      <c r="A53" s="158" t="s">
        <v>42</v>
      </c>
      <c r="B53" s="33" t="s">
        <v>20</v>
      </c>
      <c r="C53" s="31" t="s">
        <v>37</v>
      </c>
      <c r="D53" s="33" t="s">
        <v>447</v>
      </c>
      <c r="E53" s="33">
        <v>4</v>
      </c>
      <c r="F53" s="31">
        <f t="shared" si="2"/>
        <v>3</v>
      </c>
      <c r="G53" s="33"/>
      <c r="H53" s="33"/>
      <c r="I53" s="33"/>
      <c r="J53" s="34">
        <v>3</v>
      </c>
      <c r="K53" s="33"/>
      <c r="L53" s="33"/>
      <c r="M53" s="186">
        <f>SUM(G53:L62)</f>
        <v>12</v>
      </c>
      <c r="N53" s="187"/>
      <c r="O53" s="42" t="s">
        <v>17</v>
      </c>
    </row>
    <row r="54" spans="1:15" ht="16.5" customHeight="1">
      <c r="A54" s="159"/>
      <c r="B54" s="162" t="s">
        <v>506</v>
      </c>
      <c r="C54" s="31" t="s">
        <v>37</v>
      </c>
      <c r="D54" s="33" t="s">
        <v>462</v>
      </c>
      <c r="E54" s="33">
        <v>4</v>
      </c>
      <c r="F54" s="31">
        <f t="shared" si="2"/>
        <v>3</v>
      </c>
      <c r="G54" s="33"/>
      <c r="H54" s="33"/>
      <c r="I54" s="33"/>
      <c r="J54" s="34">
        <v>3</v>
      </c>
      <c r="K54" s="33"/>
      <c r="L54" s="33"/>
      <c r="M54" s="182"/>
      <c r="N54" s="183"/>
      <c r="O54" s="42" t="s">
        <v>17</v>
      </c>
    </row>
    <row r="55" spans="1:15" ht="16.5" customHeight="1">
      <c r="A55" s="159"/>
      <c r="B55" s="163"/>
      <c r="C55" s="31" t="s">
        <v>37</v>
      </c>
      <c r="D55" s="33" t="s">
        <v>463</v>
      </c>
      <c r="E55" s="33">
        <v>4</v>
      </c>
      <c r="F55" s="31">
        <f t="shared" si="2"/>
        <v>3</v>
      </c>
      <c r="G55" s="33"/>
      <c r="H55" s="33"/>
      <c r="I55" s="33"/>
      <c r="J55" s="34">
        <v>3</v>
      </c>
      <c r="K55" s="33"/>
      <c r="L55" s="33"/>
      <c r="M55" s="182"/>
      <c r="N55" s="183"/>
      <c r="O55" s="42" t="s">
        <v>17</v>
      </c>
    </row>
    <row r="56" spans="1:15" ht="16.5" customHeight="1">
      <c r="A56" s="159"/>
      <c r="B56" s="163"/>
      <c r="C56" s="31" t="s">
        <v>37</v>
      </c>
      <c r="D56" s="33" t="s">
        <v>464</v>
      </c>
      <c r="E56" s="33">
        <v>4</v>
      </c>
      <c r="F56" s="31">
        <f t="shared" si="2"/>
        <v>3</v>
      </c>
      <c r="G56" s="33"/>
      <c r="H56" s="33"/>
      <c r="I56" s="33"/>
      <c r="J56" s="34">
        <v>3</v>
      </c>
      <c r="K56" s="33"/>
      <c r="L56" s="33"/>
      <c r="M56" s="182"/>
      <c r="N56" s="183"/>
      <c r="O56" s="42" t="s">
        <v>17</v>
      </c>
    </row>
    <row r="57" spans="1:15" ht="16.5" customHeight="1">
      <c r="A57" s="159"/>
      <c r="B57" s="164"/>
      <c r="C57" s="31" t="s">
        <v>37</v>
      </c>
      <c r="D57" s="33" t="s">
        <v>465</v>
      </c>
      <c r="E57" s="33">
        <v>4</v>
      </c>
      <c r="F57" s="31">
        <f t="shared" si="2"/>
        <v>3</v>
      </c>
      <c r="G57" s="33"/>
      <c r="H57" s="33"/>
      <c r="I57" s="33"/>
      <c r="J57" s="34"/>
      <c r="K57" s="33"/>
      <c r="L57" s="33"/>
      <c r="M57" s="182"/>
      <c r="N57" s="183"/>
      <c r="O57" s="42" t="s">
        <v>17</v>
      </c>
    </row>
    <row r="58" spans="1:15" ht="16.5" customHeight="1">
      <c r="A58" s="159"/>
      <c r="B58" s="162" t="s">
        <v>505</v>
      </c>
      <c r="C58" s="31" t="s">
        <v>37</v>
      </c>
      <c r="D58" s="50" t="s">
        <v>452</v>
      </c>
      <c r="E58" s="33">
        <v>4</v>
      </c>
      <c r="F58" s="31">
        <f t="shared" si="2"/>
        <v>3</v>
      </c>
      <c r="G58" s="33"/>
      <c r="H58" s="33"/>
      <c r="I58" s="33"/>
      <c r="J58" s="34"/>
      <c r="K58" s="33"/>
      <c r="L58" s="33"/>
      <c r="M58" s="182"/>
      <c r="N58" s="183"/>
      <c r="O58" s="42" t="s">
        <v>17</v>
      </c>
    </row>
    <row r="59" spans="1:15" ht="16.5" customHeight="1">
      <c r="A59" s="159"/>
      <c r="B59" s="163"/>
      <c r="C59" s="31" t="s">
        <v>37</v>
      </c>
      <c r="D59" s="50" t="s">
        <v>466</v>
      </c>
      <c r="E59" s="33">
        <v>4</v>
      </c>
      <c r="F59" s="31">
        <f t="shared" si="2"/>
        <v>3</v>
      </c>
      <c r="G59" s="33"/>
      <c r="H59" s="33"/>
      <c r="I59" s="33"/>
      <c r="J59" s="34"/>
      <c r="K59" s="33"/>
      <c r="L59" s="33"/>
      <c r="M59" s="182"/>
      <c r="N59" s="183"/>
      <c r="O59" s="42" t="s">
        <v>17</v>
      </c>
    </row>
    <row r="60" spans="1:15" ht="16.5" customHeight="1">
      <c r="A60" s="159"/>
      <c r="B60" s="163"/>
      <c r="C60" s="31" t="s">
        <v>37</v>
      </c>
      <c r="D60" s="50" t="s">
        <v>467</v>
      </c>
      <c r="E60" s="33">
        <v>4</v>
      </c>
      <c r="F60" s="31">
        <f t="shared" si="2"/>
        <v>3</v>
      </c>
      <c r="G60" s="33"/>
      <c r="H60" s="33"/>
      <c r="I60" s="33"/>
      <c r="J60" s="34"/>
      <c r="K60" s="33"/>
      <c r="L60" s="33"/>
      <c r="M60" s="182"/>
      <c r="N60" s="183"/>
      <c r="O60" s="42" t="s">
        <v>17</v>
      </c>
    </row>
    <row r="61" spans="1:15" ht="16.5" customHeight="1">
      <c r="A61" s="159"/>
      <c r="B61" s="163"/>
      <c r="C61" s="31" t="s">
        <v>37</v>
      </c>
      <c r="D61" s="50" t="s">
        <v>561</v>
      </c>
      <c r="E61" s="33">
        <v>4</v>
      </c>
      <c r="F61" s="31">
        <f t="shared" si="2"/>
        <v>3</v>
      </c>
      <c r="G61" s="33"/>
      <c r="H61" s="33"/>
      <c r="I61" s="33"/>
      <c r="J61" s="34"/>
      <c r="K61" s="33"/>
      <c r="L61" s="33"/>
      <c r="M61" s="182"/>
      <c r="N61" s="183"/>
      <c r="O61" s="42" t="s">
        <v>17</v>
      </c>
    </row>
    <row r="62" spans="1:15" ht="16.5" customHeight="1">
      <c r="A62" s="160"/>
      <c r="B62" s="164"/>
      <c r="C62" s="31" t="s">
        <v>37</v>
      </c>
      <c r="D62" s="50" t="s">
        <v>560</v>
      </c>
      <c r="E62" s="33">
        <v>4</v>
      </c>
      <c r="F62" s="31">
        <f t="shared" si="2"/>
        <v>3</v>
      </c>
      <c r="G62" s="33"/>
      <c r="H62" s="33"/>
      <c r="I62" s="33"/>
      <c r="J62" s="33"/>
      <c r="K62" s="33"/>
      <c r="L62" s="33"/>
      <c r="M62" s="184"/>
      <c r="N62" s="185"/>
      <c r="O62" s="42" t="s">
        <v>17</v>
      </c>
    </row>
    <row r="63" spans="1:15" ht="16.5" customHeight="1">
      <c r="A63" s="158" t="s">
        <v>43</v>
      </c>
      <c r="B63" s="114" t="s">
        <v>438</v>
      </c>
      <c r="C63" s="31" t="s">
        <v>19</v>
      </c>
      <c r="D63" s="33" t="s">
        <v>439</v>
      </c>
      <c r="E63" s="33">
        <v>4</v>
      </c>
      <c r="F63" s="31">
        <f t="shared" si="2"/>
        <v>3</v>
      </c>
      <c r="G63" s="33"/>
      <c r="H63" s="33"/>
      <c r="I63" s="34">
        <v>3</v>
      </c>
      <c r="J63" s="33"/>
      <c r="K63" s="33"/>
      <c r="L63" s="33"/>
      <c r="M63" s="186">
        <f>SUM(G63:L64)</f>
        <v>3</v>
      </c>
      <c r="N63" s="187"/>
      <c r="O63" s="42" t="s">
        <v>17</v>
      </c>
    </row>
    <row r="64" spans="1:15" ht="16.5" customHeight="1">
      <c r="A64" s="160"/>
      <c r="B64" s="115"/>
      <c r="C64" s="31" t="s">
        <v>19</v>
      </c>
      <c r="D64" s="33" t="s">
        <v>469</v>
      </c>
      <c r="E64" s="33">
        <v>4</v>
      </c>
      <c r="F64" s="31">
        <f t="shared" si="2"/>
        <v>3</v>
      </c>
      <c r="G64" s="33"/>
      <c r="H64" s="33"/>
      <c r="I64" s="33"/>
      <c r="K64" s="33"/>
      <c r="L64" s="33"/>
      <c r="M64" s="184"/>
      <c r="N64" s="185"/>
      <c r="O64" s="42" t="s">
        <v>17</v>
      </c>
    </row>
    <row r="65" spans="1:15" ht="16.5" customHeight="1">
      <c r="A65" s="158" t="s">
        <v>44</v>
      </c>
      <c r="B65" s="114" t="s">
        <v>438</v>
      </c>
      <c r="C65" s="31" t="s">
        <v>37</v>
      </c>
      <c r="D65" s="33" t="s">
        <v>440</v>
      </c>
      <c r="E65" s="33">
        <v>4</v>
      </c>
      <c r="F65" s="31">
        <f t="shared" si="2"/>
        <v>3</v>
      </c>
      <c r="G65" s="33"/>
      <c r="H65" s="33"/>
      <c r="I65" s="33"/>
      <c r="J65" s="34">
        <v>3</v>
      </c>
      <c r="K65" s="33"/>
      <c r="L65" s="33"/>
      <c r="M65" s="186">
        <f>SUM(G65:L66)</f>
        <v>3</v>
      </c>
      <c r="N65" s="187"/>
      <c r="O65" s="42" t="s">
        <v>17</v>
      </c>
    </row>
    <row r="66" spans="1:15" ht="16.5" customHeight="1">
      <c r="A66" s="160"/>
      <c r="B66" s="115"/>
      <c r="C66" s="31" t="s">
        <v>37</v>
      </c>
      <c r="D66" s="33" t="s">
        <v>470</v>
      </c>
      <c r="E66" s="33">
        <v>4</v>
      </c>
      <c r="F66" s="31">
        <f t="shared" si="2"/>
        <v>3</v>
      </c>
      <c r="G66" s="33"/>
      <c r="H66" s="33"/>
      <c r="I66" s="33"/>
      <c r="J66" s="33"/>
      <c r="K66" s="33"/>
      <c r="L66" s="33"/>
      <c r="M66" s="184"/>
      <c r="N66" s="185"/>
      <c r="O66" s="42" t="s">
        <v>17</v>
      </c>
    </row>
    <row r="67" spans="1:15" ht="16.5" customHeight="1">
      <c r="A67" s="158" t="s">
        <v>45</v>
      </c>
      <c r="B67" s="35" t="s">
        <v>513</v>
      </c>
      <c r="C67" s="31" t="s">
        <v>37</v>
      </c>
      <c r="D67" s="33" t="s">
        <v>471</v>
      </c>
      <c r="E67" s="33">
        <v>4</v>
      </c>
      <c r="F67" s="31">
        <f t="shared" si="2"/>
        <v>3</v>
      </c>
      <c r="G67" s="33"/>
      <c r="H67" s="33"/>
      <c r="I67" s="33"/>
      <c r="J67" s="33"/>
      <c r="K67" s="34">
        <v>3</v>
      </c>
      <c r="L67" s="33"/>
      <c r="M67" s="186">
        <f>SUM(G67:L83)</f>
        <v>12</v>
      </c>
      <c r="N67" s="187"/>
      <c r="O67" s="42" t="s">
        <v>17</v>
      </c>
    </row>
    <row r="68" spans="1:15" ht="16.5" customHeight="1">
      <c r="A68" s="159"/>
      <c r="B68" s="114" t="s">
        <v>20</v>
      </c>
      <c r="C68" s="31" t="s">
        <v>37</v>
      </c>
      <c r="D68" s="33" t="s">
        <v>472</v>
      </c>
      <c r="E68" s="33">
        <v>4</v>
      </c>
      <c r="F68" s="31">
        <f t="shared" si="2"/>
        <v>3</v>
      </c>
      <c r="G68" s="33"/>
      <c r="H68" s="33"/>
      <c r="I68" s="33"/>
      <c r="J68" s="33"/>
      <c r="K68" s="34">
        <v>3</v>
      </c>
      <c r="L68" s="33"/>
      <c r="M68" s="182"/>
      <c r="N68" s="183"/>
      <c r="O68" s="42" t="s">
        <v>17</v>
      </c>
    </row>
    <row r="69" spans="1:15" ht="16.5" customHeight="1">
      <c r="A69" s="159"/>
      <c r="B69" s="115"/>
      <c r="C69" s="31" t="s">
        <v>37</v>
      </c>
      <c r="D69" s="33" t="s">
        <v>448</v>
      </c>
      <c r="E69" s="33">
        <v>4</v>
      </c>
      <c r="F69" s="31">
        <f t="shared" si="2"/>
        <v>3</v>
      </c>
      <c r="G69" s="33"/>
      <c r="H69" s="33"/>
      <c r="I69" s="33"/>
      <c r="J69" s="33"/>
      <c r="K69" s="34">
        <v>3</v>
      </c>
      <c r="L69" s="33"/>
      <c r="M69" s="182"/>
      <c r="N69" s="183"/>
      <c r="O69" s="42" t="s">
        <v>17</v>
      </c>
    </row>
    <row r="70" spans="1:15" ht="16.5" customHeight="1">
      <c r="A70" s="159"/>
      <c r="B70" s="33" t="s">
        <v>23</v>
      </c>
      <c r="C70" s="31" t="s">
        <v>38</v>
      </c>
      <c r="D70" s="33" t="s">
        <v>473</v>
      </c>
      <c r="E70" s="33">
        <v>4</v>
      </c>
      <c r="F70" s="31">
        <f t="shared" si="2"/>
        <v>3</v>
      </c>
      <c r="G70" s="33"/>
      <c r="H70" s="33"/>
      <c r="I70" s="33"/>
      <c r="J70" s="33"/>
      <c r="K70" s="34">
        <v>3</v>
      </c>
      <c r="L70" s="33"/>
      <c r="M70" s="182"/>
      <c r="N70" s="183"/>
      <c r="O70" s="42" t="s">
        <v>17</v>
      </c>
    </row>
    <row r="71" spans="1:15" ht="16.5" customHeight="1">
      <c r="A71" s="159"/>
      <c r="B71" s="114" t="s">
        <v>424</v>
      </c>
      <c r="C71" s="31" t="s">
        <v>37</v>
      </c>
      <c r="D71" s="33" t="s">
        <v>474</v>
      </c>
      <c r="E71" s="33">
        <v>4</v>
      </c>
      <c r="F71" s="31">
        <f t="shared" si="2"/>
        <v>3</v>
      </c>
      <c r="G71" s="33"/>
      <c r="H71" s="33"/>
      <c r="I71" s="33"/>
      <c r="J71" s="33"/>
      <c r="K71" s="34"/>
      <c r="L71" s="33"/>
      <c r="M71" s="182"/>
      <c r="N71" s="183"/>
      <c r="O71" s="42" t="s">
        <v>17</v>
      </c>
    </row>
    <row r="72" spans="1:15" ht="16.5" customHeight="1">
      <c r="A72" s="159"/>
      <c r="B72" s="116"/>
      <c r="C72" s="31" t="s">
        <v>37</v>
      </c>
      <c r="D72" s="33" t="s">
        <v>475</v>
      </c>
      <c r="E72" s="33">
        <v>4</v>
      </c>
      <c r="F72" s="31">
        <f t="shared" si="2"/>
        <v>3</v>
      </c>
      <c r="G72" s="33"/>
      <c r="H72" s="33"/>
      <c r="I72" s="33"/>
      <c r="J72" s="33"/>
      <c r="K72" s="34"/>
      <c r="L72" s="33"/>
      <c r="M72" s="182"/>
      <c r="N72" s="183"/>
      <c r="O72" s="42" t="s">
        <v>17</v>
      </c>
    </row>
    <row r="73" spans="1:15" ht="16.5" customHeight="1">
      <c r="A73" s="159"/>
      <c r="B73" s="116"/>
      <c r="C73" s="31" t="s">
        <v>37</v>
      </c>
      <c r="D73" s="33" t="s">
        <v>476</v>
      </c>
      <c r="E73" s="33">
        <v>4</v>
      </c>
      <c r="F73" s="31">
        <f t="shared" si="2"/>
        <v>3</v>
      </c>
      <c r="G73" s="33"/>
      <c r="H73" s="33"/>
      <c r="I73" s="33"/>
      <c r="J73" s="33"/>
      <c r="K73" s="34"/>
      <c r="L73" s="33"/>
      <c r="M73" s="182"/>
      <c r="N73" s="183"/>
      <c r="O73" s="42" t="s">
        <v>17</v>
      </c>
    </row>
    <row r="74" spans="1:15" ht="16.5" customHeight="1">
      <c r="A74" s="159"/>
      <c r="B74" s="116"/>
      <c r="C74" s="31" t="s">
        <v>37</v>
      </c>
      <c r="D74" s="33" t="s">
        <v>477</v>
      </c>
      <c r="E74" s="33">
        <v>4</v>
      </c>
      <c r="F74" s="31">
        <f t="shared" si="2"/>
        <v>3</v>
      </c>
      <c r="G74" s="33"/>
      <c r="H74" s="33"/>
      <c r="I74" s="33"/>
      <c r="J74" s="33"/>
      <c r="K74" s="34"/>
      <c r="L74" s="33"/>
      <c r="M74" s="182"/>
      <c r="N74" s="183"/>
      <c r="O74" s="42" t="s">
        <v>17</v>
      </c>
    </row>
    <row r="75" spans="1:15" ht="16.5" customHeight="1">
      <c r="A75" s="159"/>
      <c r="B75" s="115"/>
      <c r="C75" s="31" t="s">
        <v>38</v>
      </c>
      <c r="D75" s="33" t="s">
        <v>478</v>
      </c>
      <c r="E75" s="33">
        <v>4</v>
      </c>
      <c r="F75" s="31">
        <f t="shared" si="2"/>
        <v>3</v>
      </c>
      <c r="G75" s="33"/>
      <c r="H75" s="33"/>
      <c r="I75" s="33"/>
      <c r="J75" s="33"/>
      <c r="K75" s="34"/>
      <c r="L75" s="33"/>
      <c r="M75" s="182"/>
      <c r="N75" s="183"/>
      <c r="O75" s="42" t="s">
        <v>46</v>
      </c>
    </row>
    <row r="76" spans="1:15" ht="16.5" customHeight="1">
      <c r="A76" s="159"/>
      <c r="B76" s="114" t="s">
        <v>425</v>
      </c>
      <c r="C76" s="31" t="s">
        <v>37</v>
      </c>
      <c r="D76" s="33" t="s">
        <v>479</v>
      </c>
      <c r="E76" s="33">
        <v>4</v>
      </c>
      <c r="F76" s="31">
        <f t="shared" si="2"/>
        <v>3</v>
      </c>
      <c r="G76" s="33"/>
      <c r="H76" s="33"/>
      <c r="I76" s="33"/>
      <c r="J76" s="33"/>
      <c r="K76" s="34"/>
      <c r="L76" s="33"/>
      <c r="M76" s="182"/>
      <c r="N76" s="183"/>
      <c r="O76" s="42" t="s">
        <v>17</v>
      </c>
    </row>
    <row r="77" spans="1:15" ht="16.5" customHeight="1">
      <c r="A77" s="159"/>
      <c r="B77" s="116"/>
      <c r="C77" s="31" t="s">
        <v>37</v>
      </c>
      <c r="D77" s="33" t="s">
        <v>480</v>
      </c>
      <c r="E77" s="33">
        <v>4</v>
      </c>
      <c r="F77" s="31">
        <f t="shared" si="2"/>
        <v>3</v>
      </c>
      <c r="G77" s="33"/>
      <c r="H77" s="33"/>
      <c r="I77" s="33"/>
      <c r="J77" s="33"/>
      <c r="K77" s="34"/>
      <c r="L77" s="33"/>
      <c r="M77" s="182"/>
      <c r="N77" s="183"/>
      <c r="O77" s="42" t="s">
        <v>17</v>
      </c>
    </row>
    <row r="78" spans="1:15" ht="16.5" customHeight="1">
      <c r="A78" s="159"/>
      <c r="B78" s="116"/>
      <c r="C78" s="31" t="s">
        <v>37</v>
      </c>
      <c r="D78" s="33" t="s">
        <v>481</v>
      </c>
      <c r="E78" s="33">
        <v>4</v>
      </c>
      <c r="F78" s="31">
        <f t="shared" si="2"/>
        <v>3</v>
      </c>
      <c r="G78" s="33"/>
      <c r="H78" s="33"/>
      <c r="I78" s="33"/>
      <c r="J78" s="33"/>
      <c r="K78" s="34"/>
      <c r="L78" s="33"/>
      <c r="M78" s="182"/>
      <c r="N78" s="183"/>
      <c r="O78" s="42" t="s">
        <v>17</v>
      </c>
    </row>
    <row r="79" spans="1:15" ht="16.5" customHeight="1">
      <c r="A79" s="159"/>
      <c r="B79" s="116"/>
      <c r="C79" s="31" t="s">
        <v>37</v>
      </c>
      <c r="D79" s="33" t="s">
        <v>482</v>
      </c>
      <c r="E79" s="33">
        <v>4</v>
      </c>
      <c r="F79" s="31">
        <f t="shared" si="2"/>
        <v>3</v>
      </c>
      <c r="G79" s="33"/>
      <c r="H79" s="33"/>
      <c r="I79" s="33"/>
      <c r="J79" s="33"/>
      <c r="K79" s="34"/>
      <c r="L79" s="33"/>
      <c r="M79" s="182"/>
      <c r="N79" s="183"/>
      <c r="O79" s="42" t="s">
        <v>17</v>
      </c>
    </row>
    <row r="80" spans="1:15" ht="16.5" customHeight="1">
      <c r="A80" s="159"/>
      <c r="B80" s="116"/>
      <c r="C80" s="31" t="s">
        <v>37</v>
      </c>
      <c r="D80" s="33" t="s">
        <v>483</v>
      </c>
      <c r="E80" s="33">
        <v>4</v>
      </c>
      <c r="F80" s="31">
        <f t="shared" si="2"/>
        <v>3</v>
      </c>
      <c r="G80" s="33"/>
      <c r="H80" s="33"/>
      <c r="I80" s="33"/>
      <c r="J80" s="33"/>
      <c r="K80" s="34"/>
      <c r="L80" s="33"/>
      <c r="M80" s="182"/>
      <c r="N80" s="183"/>
      <c r="O80" s="42" t="s">
        <v>17</v>
      </c>
    </row>
    <row r="81" spans="1:15" ht="16.5" customHeight="1">
      <c r="A81" s="159"/>
      <c r="B81" s="115"/>
      <c r="C81" s="31" t="s">
        <v>37</v>
      </c>
      <c r="D81" s="33" t="s">
        <v>484</v>
      </c>
      <c r="E81" s="33">
        <v>4</v>
      </c>
      <c r="F81" s="31">
        <f t="shared" si="2"/>
        <v>3</v>
      </c>
      <c r="G81" s="33"/>
      <c r="H81" s="33"/>
      <c r="I81" s="33"/>
      <c r="J81" s="33"/>
      <c r="K81" s="34"/>
      <c r="L81" s="33"/>
      <c r="M81" s="182"/>
      <c r="N81" s="183"/>
      <c r="O81" s="42" t="s">
        <v>17</v>
      </c>
    </row>
    <row r="82" spans="1:15" ht="16.5" customHeight="1">
      <c r="A82" s="159"/>
      <c r="B82" s="162" t="s">
        <v>348</v>
      </c>
      <c r="C82" s="31" t="s">
        <v>38</v>
      </c>
      <c r="D82" s="36" t="s">
        <v>485</v>
      </c>
      <c r="E82" s="33">
        <v>4</v>
      </c>
      <c r="F82" s="31">
        <f t="shared" si="2"/>
        <v>3</v>
      </c>
      <c r="G82" s="33"/>
      <c r="H82" s="33"/>
      <c r="I82" s="33"/>
      <c r="J82" s="33"/>
      <c r="K82" s="34"/>
      <c r="L82" s="33"/>
      <c r="M82" s="182"/>
      <c r="N82" s="183"/>
      <c r="O82" s="42" t="s">
        <v>17</v>
      </c>
    </row>
    <row r="83" spans="1:15" ht="16.5" customHeight="1">
      <c r="A83" s="160"/>
      <c r="B83" s="164"/>
      <c r="C83" s="31" t="s">
        <v>38</v>
      </c>
      <c r="D83" s="33" t="s">
        <v>486</v>
      </c>
      <c r="E83" s="33">
        <v>4</v>
      </c>
      <c r="F83" s="31">
        <f t="shared" si="2"/>
        <v>3</v>
      </c>
      <c r="G83" s="33"/>
      <c r="H83" s="33"/>
      <c r="I83" s="33"/>
      <c r="J83" s="33"/>
      <c r="K83" s="33"/>
      <c r="L83" s="33"/>
      <c r="M83" s="182"/>
      <c r="N83" s="183"/>
      <c r="O83" s="42" t="s">
        <v>17</v>
      </c>
    </row>
    <row r="84" spans="1:15" ht="16.5" customHeight="1">
      <c r="A84" s="158" t="s">
        <v>47</v>
      </c>
      <c r="B84" s="35" t="s">
        <v>513</v>
      </c>
      <c r="C84" s="31" t="s">
        <v>38</v>
      </c>
      <c r="D84" s="37" t="s">
        <v>487</v>
      </c>
      <c r="E84" s="33">
        <v>4</v>
      </c>
      <c r="F84" s="31">
        <f t="shared" si="2"/>
        <v>3</v>
      </c>
      <c r="G84" s="33"/>
      <c r="H84" s="33"/>
      <c r="I84" s="33"/>
      <c r="J84" s="33"/>
      <c r="K84" s="33"/>
      <c r="L84" s="34">
        <v>3</v>
      </c>
      <c r="M84" s="182">
        <v>12</v>
      </c>
      <c r="N84" s="183"/>
      <c r="O84" s="42" t="s">
        <v>17</v>
      </c>
    </row>
    <row r="85" spans="1:15" ht="16.5" customHeight="1">
      <c r="A85" s="159"/>
      <c r="B85" s="33" t="s">
        <v>20</v>
      </c>
      <c r="C85" s="31" t="s">
        <v>38</v>
      </c>
      <c r="D85" s="33" t="s">
        <v>446</v>
      </c>
      <c r="E85" s="33">
        <v>4</v>
      </c>
      <c r="F85" s="31">
        <f t="shared" si="2"/>
        <v>3</v>
      </c>
      <c r="G85" s="33"/>
      <c r="H85" s="33"/>
      <c r="I85" s="33"/>
      <c r="J85" s="33"/>
      <c r="K85" s="33"/>
      <c r="L85" s="34">
        <v>3</v>
      </c>
      <c r="M85" s="182"/>
      <c r="N85" s="183"/>
      <c r="O85" s="42" t="s">
        <v>17</v>
      </c>
    </row>
    <row r="86" spans="1:15" ht="16.5" customHeight="1">
      <c r="A86" s="159"/>
      <c r="B86" s="33" t="s">
        <v>326</v>
      </c>
      <c r="C86" s="31" t="s">
        <v>38</v>
      </c>
      <c r="D86" s="33" t="s">
        <v>488</v>
      </c>
      <c r="E86" s="33">
        <v>4</v>
      </c>
      <c r="F86" s="31">
        <f t="shared" si="2"/>
        <v>3</v>
      </c>
      <c r="G86" s="33"/>
      <c r="H86" s="33"/>
      <c r="I86" s="33"/>
      <c r="J86" s="33"/>
      <c r="K86" s="33"/>
      <c r="L86" s="34">
        <v>3</v>
      </c>
      <c r="M86" s="182"/>
      <c r="N86" s="183"/>
      <c r="O86" s="42" t="s">
        <v>17</v>
      </c>
    </row>
    <row r="87" spans="1:15" ht="16.5" customHeight="1">
      <c r="A87" s="159"/>
      <c r="B87" s="114" t="s">
        <v>506</v>
      </c>
      <c r="C87" s="31" t="s">
        <v>38</v>
      </c>
      <c r="D87" s="33" t="s">
        <v>489</v>
      </c>
      <c r="E87" s="33">
        <v>4</v>
      </c>
      <c r="F87" s="31">
        <f t="shared" si="2"/>
        <v>3</v>
      </c>
      <c r="G87" s="33"/>
      <c r="H87" s="33"/>
      <c r="I87" s="33"/>
      <c r="J87" s="33"/>
      <c r="K87" s="33"/>
      <c r="L87" s="34">
        <v>3</v>
      </c>
      <c r="M87" s="182"/>
      <c r="N87" s="183"/>
      <c r="O87" s="42" t="s">
        <v>46</v>
      </c>
    </row>
    <row r="88" spans="1:15" ht="16.5" customHeight="1">
      <c r="A88" s="159"/>
      <c r="B88" s="116"/>
      <c r="C88" s="31" t="s">
        <v>38</v>
      </c>
      <c r="D88" s="33" t="s">
        <v>490</v>
      </c>
      <c r="E88" s="33">
        <v>4</v>
      </c>
      <c r="F88" s="31">
        <f t="shared" si="2"/>
        <v>3</v>
      </c>
      <c r="G88" s="33"/>
      <c r="H88" s="33"/>
      <c r="I88" s="33"/>
      <c r="J88" s="33"/>
      <c r="K88" s="33"/>
      <c r="L88" s="34"/>
      <c r="M88" s="182"/>
      <c r="N88" s="183"/>
      <c r="O88" s="42" t="s">
        <v>46</v>
      </c>
    </row>
    <row r="89" spans="1:15" ht="16.5" customHeight="1">
      <c r="A89" s="159"/>
      <c r="B89" s="116"/>
      <c r="C89" s="31" t="s">
        <v>38</v>
      </c>
      <c r="D89" s="33" t="s">
        <v>451</v>
      </c>
      <c r="E89" s="33">
        <v>4</v>
      </c>
      <c r="F89" s="31">
        <f t="shared" si="2"/>
        <v>3</v>
      </c>
      <c r="G89" s="33"/>
      <c r="H89" s="33"/>
      <c r="I89" s="33"/>
      <c r="J89" s="33"/>
      <c r="K89" s="33"/>
      <c r="L89" s="34"/>
      <c r="M89" s="182"/>
      <c r="N89" s="183"/>
      <c r="O89" s="42" t="s">
        <v>46</v>
      </c>
    </row>
    <row r="90" spans="1:15" ht="16.5" customHeight="1">
      <c r="A90" s="159"/>
      <c r="B90" s="116"/>
      <c r="C90" s="31" t="s">
        <v>38</v>
      </c>
      <c r="D90" s="33" t="s">
        <v>450</v>
      </c>
      <c r="E90" s="33">
        <v>4</v>
      </c>
      <c r="F90" s="31">
        <f t="shared" si="2"/>
        <v>3</v>
      </c>
      <c r="G90" s="33"/>
      <c r="H90" s="33"/>
      <c r="I90" s="33"/>
      <c r="J90" s="33"/>
      <c r="K90" s="33"/>
      <c r="L90" s="34"/>
      <c r="M90" s="182"/>
      <c r="N90" s="183"/>
      <c r="O90" s="42" t="s">
        <v>46</v>
      </c>
    </row>
    <row r="91" spans="1:15" ht="16.5" customHeight="1">
      <c r="A91" s="159"/>
      <c r="B91" s="115"/>
      <c r="C91" s="31" t="s">
        <v>38</v>
      </c>
      <c r="D91" s="33" t="s">
        <v>491</v>
      </c>
      <c r="E91" s="33">
        <v>4</v>
      </c>
      <c r="F91" s="31">
        <f t="shared" si="2"/>
        <v>3</v>
      </c>
      <c r="G91" s="33"/>
      <c r="H91" s="33"/>
      <c r="I91" s="33"/>
      <c r="J91" s="33"/>
      <c r="K91" s="33"/>
      <c r="L91" s="34"/>
      <c r="M91" s="182"/>
      <c r="N91" s="183"/>
      <c r="O91" s="42" t="s">
        <v>46</v>
      </c>
    </row>
    <row r="92" spans="1:15" ht="16.5" customHeight="1">
      <c r="A92" s="159"/>
      <c r="B92" s="162" t="s">
        <v>505</v>
      </c>
      <c r="C92" s="31" t="s">
        <v>37</v>
      </c>
      <c r="D92" s="33" t="s">
        <v>479</v>
      </c>
      <c r="E92" s="33">
        <v>4</v>
      </c>
      <c r="F92" s="31">
        <f t="shared" si="2"/>
        <v>3</v>
      </c>
      <c r="G92" s="33"/>
      <c r="H92" s="33"/>
      <c r="I92" s="33"/>
      <c r="J92" s="33"/>
      <c r="K92" s="33"/>
      <c r="L92" s="34"/>
      <c r="M92" s="182"/>
      <c r="N92" s="183"/>
      <c r="O92" s="42" t="s">
        <v>17</v>
      </c>
    </row>
    <row r="93" spans="1:15" ht="16.5" customHeight="1">
      <c r="A93" s="159"/>
      <c r="B93" s="163"/>
      <c r="C93" s="31" t="s">
        <v>37</v>
      </c>
      <c r="D93" s="33" t="s">
        <v>480</v>
      </c>
      <c r="E93" s="33">
        <v>4</v>
      </c>
      <c r="F93" s="31">
        <f t="shared" si="2"/>
        <v>3</v>
      </c>
      <c r="G93" s="33"/>
      <c r="H93" s="33"/>
      <c r="I93" s="33"/>
      <c r="J93" s="33"/>
      <c r="K93" s="33"/>
      <c r="L93" s="34"/>
      <c r="M93" s="182"/>
      <c r="N93" s="183"/>
      <c r="O93" s="42" t="s">
        <v>17</v>
      </c>
    </row>
    <row r="94" spans="1:15" ht="16.5" customHeight="1">
      <c r="A94" s="159"/>
      <c r="B94" s="163"/>
      <c r="C94" s="31" t="s">
        <v>37</v>
      </c>
      <c r="D94" s="33" t="s">
        <v>481</v>
      </c>
      <c r="E94" s="33">
        <v>4</v>
      </c>
      <c r="F94" s="31">
        <f t="shared" si="2"/>
        <v>3</v>
      </c>
      <c r="G94" s="33"/>
      <c r="H94" s="33"/>
      <c r="I94" s="33"/>
      <c r="J94" s="33"/>
      <c r="K94" s="33"/>
      <c r="L94" s="34"/>
      <c r="M94" s="182"/>
      <c r="N94" s="183"/>
      <c r="O94" s="42" t="s">
        <v>17</v>
      </c>
    </row>
    <row r="95" spans="1:15" ht="16.5" customHeight="1">
      <c r="A95" s="159"/>
      <c r="B95" s="163"/>
      <c r="C95" s="31" t="s">
        <v>37</v>
      </c>
      <c r="D95" s="33" t="s">
        <v>482</v>
      </c>
      <c r="E95" s="33">
        <v>4</v>
      </c>
      <c r="F95" s="31">
        <f t="shared" si="2"/>
        <v>3</v>
      </c>
      <c r="G95" s="33"/>
      <c r="H95" s="33"/>
      <c r="I95" s="33"/>
      <c r="J95" s="33"/>
      <c r="K95" s="33"/>
      <c r="L95" s="34"/>
      <c r="M95" s="182"/>
      <c r="N95" s="183"/>
      <c r="O95" s="42" t="s">
        <v>17</v>
      </c>
    </row>
    <row r="96" spans="1:15" ht="16.5" customHeight="1">
      <c r="A96" s="159"/>
      <c r="B96" s="163"/>
      <c r="C96" s="31" t="s">
        <v>38</v>
      </c>
      <c r="D96" s="33" t="s">
        <v>492</v>
      </c>
      <c r="E96" s="33">
        <v>4</v>
      </c>
      <c r="F96" s="31">
        <f t="shared" si="2"/>
        <v>3</v>
      </c>
      <c r="G96" s="33"/>
      <c r="H96" s="33"/>
      <c r="I96" s="33"/>
      <c r="J96" s="33"/>
      <c r="K96" s="33"/>
      <c r="L96" s="34"/>
      <c r="M96" s="182"/>
      <c r="N96" s="183"/>
      <c r="O96" s="42" t="s">
        <v>46</v>
      </c>
    </row>
    <row r="97" spans="1:15" ht="16.5" customHeight="1">
      <c r="A97" s="159"/>
      <c r="B97" s="164"/>
      <c r="C97" s="31" t="s">
        <v>38</v>
      </c>
      <c r="D97" s="33" t="s">
        <v>493</v>
      </c>
      <c r="E97" s="33">
        <v>4</v>
      </c>
      <c r="F97" s="31">
        <f t="shared" si="2"/>
        <v>3</v>
      </c>
      <c r="G97" s="33"/>
      <c r="H97" s="33"/>
      <c r="I97" s="33"/>
      <c r="J97" s="33"/>
      <c r="K97" s="33"/>
      <c r="L97" s="34"/>
      <c r="M97" s="182"/>
      <c r="N97" s="183"/>
      <c r="O97" s="42" t="s">
        <v>46</v>
      </c>
    </row>
    <row r="98" spans="1:15" ht="16.5" customHeight="1">
      <c r="A98" s="159"/>
      <c r="B98" s="162" t="s">
        <v>348</v>
      </c>
      <c r="C98" s="31" t="s">
        <v>37</v>
      </c>
      <c r="D98" s="33" t="s">
        <v>494</v>
      </c>
      <c r="E98" s="33">
        <v>4</v>
      </c>
      <c r="F98" s="31">
        <f t="shared" si="2"/>
        <v>3</v>
      </c>
      <c r="G98" s="33"/>
      <c r="H98" s="33"/>
      <c r="I98" s="33"/>
      <c r="J98" s="33"/>
      <c r="K98" s="33"/>
      <c r="L98" s="34"/>
      <c r="M98" s="182"/>
      <c r="N98" s="183"/>
      <c r="O98" s="42" t="s">
        <v>17</v>
      </c>
    </row>
    <row r="99" spans="1:15" ht="16.5" customHeight="1">
      <c r="A99" s="160"/>
      <c r="B99" s="164"/>
      <c r="C99" s="31" t="s">
        <v>37</v>
      </c>
      <c r="D99" s="33" t="s">
        <v>495</v>
      </c>
      <c r="E99" s="33">
        <v>4</v>
      </c>
      <c r="F99" s="31">
        <f t="shared" si="2"/>
        <v>3</v>
      </c>
      <c r="G99" s="33"/>
      <c r="H99" s="33"/>
      <c r="I99" s="33"/>
      <c r="J99" s="33"/>
      <c r="K99" s="33"/>
      <c r="L99" s="33"/>
      <c r="M99" s="184"/>
      <c r="N99" s="185"/>
      <c r="O99" s="42" t="s">
        <v>17</v>
      </c>
    </row>
    <row r="100" spans="1:15" ht="16.5" customHeight="1">
      <c r="A100" s="173" t="s">
        <v>48</v>
      </c>
      <c r="B100" s="162" t="s">
        <v>514</v>
      </c>
      <c r="C100" s="31" t="s">
        <v>19</v>
      </c>
      <c r="D100" s="33" t="s">
        <v>444</v>
      </c>
      <c r="E100" s="33">
        <v>3</v>
      </c>
      <c r="F100" s="31">
        <v>2</v>
      </c>
      <c r="G100" s="33"/>
      <c r="H100" s="33"/>
      <c r="I100" s="33"/>
      <c r="J100" s="33"/>
      <c r="K100" s="34">
        <v>2</v>
      </c>
      <c r="L100" s="34">
        <v>2</v>
      </c>
      <c r="M100" s="176">
        <f>SUM(G100:L103)</f>
        <v>4</v>
      </c>
      <c r="N100" s="177"/>
      <c r="O100" s="42" t="s">
        <v>49</v>
      </c>
    </row>
    <row r="101" spans="1:15" ht="16.5" customHeight="1">
      <c r="A101" s="174"/>
      <c r="B101" s="163"/>
      <c r="C101" s="31" t="s">
        <v>37</v>
      </c>
      <c r="D101" s="33" t="s">
        <v>443</v>
      </c>
      <c r="E101" s="33">
        <v>3</v>
      </c>
      <c r="F101" s="31">
        <v>2</v>
      </c>
      <c r="G101" s="33"/>
      <c r="H101" s="33"/>
      <c r="I101" s="33"/>
      <c r="J101" s="33"/>
      <c r="K101" s="34"/>
      <c r="L101" s="34"/>
      <c r="M101" s="178"/>
      <c r="N101" s="179"/>
      <c r="O101" s="42" t="s">
        <v>49</v>
      </c>
    </row>
    <row r="102" spans="1:15" ht="16.5" customHeight="1">
      <c r="A102" s="174"/>
      <c r="B102" s="163"/>
      <c r="C102" s="31" t="s">
        <v>38</v>
      </c>
      <c r="D102" s="33" t="s">
        <v>496</v>
      </c>
      <c r="E102" s="33">
        <v>3</v>
      </c>
      <c r="F102" s="31">
        <v>2</v>
      </c>
      <c r="G102" s="33"/>
      <c r="H102" s="33"/>
      <c r="I102" s="33"/>
      <c r="J102" s="33"/>
      <c r="K102" s="34"/>
      <c r="L102" s="34"/>
      <c r="M102" s="178"/>
      <c r="N102" s="179"/>
      <c r="O102" s="42" t="s">
        <v>49</v>
      </c>
    </row>
    <row r="103" spans="1:15" ht="16.5" customHeight="1">
      <c r="A103" s="175"/>
      <c r="B103" s="164"/>
      <c r="C103" s="31" t="s">
        <v>37</v>
      </c>
      <c r="D103" s="33" t="s">
        <v>445</v>
      </c>
      <c r="E103" s="33">
        <v>3</v>
      </c>
      <c r="F103" s="31">
        <v>2</v>
      </c>
      <c r="G103" s="33"/>
      <c r="H103" s="33"/>
      <c r="I103" s="33"/>
      <c r="J103" s="33"/>
      <c r="K103" s="34"/>
      <c r="L103" s="34"/>
      <c r="M103" s="180"/>
      <c r="N103" s="181"/>
      <c r="O103" s="42" t="s">
        <v>49</v>
      </c>
    </row>
    <row r="104" spans="1:15" ht="16.5" customHeight="1">
      <c r="A104" s="117" t="s">
        <v>414</v>
      </c>
      <c r="B104" s="127"/>
      <c r="C104" s="127"/>
      <c r="D104" s="118"/>
      <c r="E104" s="38"/>
      <c r="F104" s="38"/>
      <c r="G104" s="38">
        <f t="shared" ref="G104:L104" si="3">SUM(G44:G103)</f>
        <v>0</v>
      </c>
      <c r="H104" s="38">
        <f t="shared" si="3"/>
        <v>0</v>
      </c>
      <c r="I104" s="38">
        <f t="shared" si="3"/>
        <v>15</v>
      </c>
      <c r="J104" s="38">
        <f t="shared" si="3"/>
        <v>15</v>
      </c>
      <c r="K104" s="38">
        <f t="shared" si="3"/>
        <v>14</v>
      </c>
      <c r="L104" s="38">
        <f t="shared" si="3"/>
        <v>14</v>
      </c>
      <c r="M104" s="117">
        <f>SUM(G104:L104)</f>
        <v>58</v>
      </c>
      <c r="N104" s="118"/>
      <c r="O104" s="44"/>
    </row>
    <row r="105" spans="1:15" ht="16.5" customHeight="1">
      <c r="A105" s="106" t="s">
        <v>415</v>
      </c>
      <c r="B105" s="107"/>
      <c r="C105" s="107"/>
      <c r="D105" s="108"/>
      <c r="E105" s="39"/>
      <c r="F105" s="39"/>
      <c r="G105" s="39">
        <f t="shared" ref="G105:L105" si="4">SUM(G43,G104)</f>
        <v>29</v>
      </c>
      <c r="H105" s="39">
        <f t="shared" si="4"/>
        <v>29</v>
      </c>
      <c r="I105" s="39">
        <f t="shared" si="4"/>
        <v>29</v>
      </c>
      <c r="J105" s="39">
        <f t="shared" si="4"/>
        <v>29</v>
      </c>
      <c r="K105" s="39">
        <f t="shared" si="4"/>
        <v>29</v>
      </c>
      <c r="L105" s="39">
        <f t="shared" si="4"/>
        <v>29</v>
      </c>
      <c r="M105" s="106">
        <f>SUM(G105:L105)</f>
        <v>174</v>
      </c>
      <c r="N105" s="108"/>
      <c r="O105" s="45"/>
    </row>
    <row r="106" spans="1:15" ht="16.5" customHeight="1">
      <c r="A106" s="106" t="s">
        <v>497</v>
      </c>
      <c r="B106" s="107"/>
      <c r="C106" s="107"/>
      <c r="D106" s="108"/>
      <c r="E106" s="39"/>
      <c r="F106" s="39"/>
      <c r="G106" s="39">
        <v>3</v>
      </c>
      <c r="H106" s="39">
        <v>3</v>
      </c>
      <c r="I106" s="39">
        <v>3</v>
      </c>
      <c r="J106" s="39">
        <v>3</v>
      </c>
      <c r="K106" s="39">
        <v>3</v>
      </c>
      <c r="L106" s="39">
        <v>3</v>
      </c>
      <c r="M106" s="106">
        <f>SUM(G106:L106)</f>
        <v>18</v>
      </c>
      <c r="N106" s="108"/>
      <c r="O106" s="45"/>
    </row>
    <row r="107" spans="1:15" ht="16.5" customHeight="1" thickBot="1">
      <c r="A107" s="109" t="s">
        <v>416</v>
      </c>
      <c r="B107" s="110"/>
      <c r="C107" s="110"/>
      <c r="D107" s="111"/>
      <c r="E107" s="40"/>
      <c r="F107" s="40"/>
      <c r="G107" s="40">
        <f t="shared" ref="G107:L107" si="5">SUM(G105:G106)</f>
        <v>32</v>
      </c>
      <c r="H107" s="40">
        <f t="shared" si="5"/>
        <v>32</v>
      </c>
      <c r="I107" s="40">
        <f t="shared" si="5"/>
        <v>32</v>
      </c>
      <c r="J107" s="40">
        <f t="shared" si="5"/>
        <v>32</v>
      </c>
      <c r="K107" s="40">
        <f t="shared" si="5"/>
        <v>32</v>
      </c>
      <c r="L107" s="40">
        <f t="shared" si="5"/>
        <v>32</v>
      </c>
      <c r="M107" s="142">
        <f>SUM(G107:L107)</f>
        <v>192</v>
      </c>
      <c r="N107" s="143"/>
      <c r="O107" s="49"/>
    </row>
    <row r="108" spans="1:15" ht="16.5" customHeight="1">
      <c r="A108" s="53"/>
      <c r="N108" s="53"/>
    </row>
    <row r="109" spans="1:15" ht="16.5" customHeight="1">
      <c r="A109" s="53"/>
      <c r="N109" s="53"/>
    </row>
    <row r="110" spans="1:15" ht="16.5" customHeight="1">
      <c r="A110" s="53"/>
      <c r="N110" s="53"/>
    </row>
    <row r="111" spans="1:15" ht="16.5" customHeight="1">
      <c r="A111" s="2"/>
      <c r="N111" s="2"/>
    </row>
    <row r="112" spans="1:15" ht="16.5" customHeight="1">
      <c r="A112" s="2"/>
      <c r="N112" s="2"/>
    </row>
    <row r="113" spans="1:14" ht="16.5" customHeight="1">
      <c r="A113" s="2"/>
      <c r="N113" s="2"/>
    </row>
    <row r="114" spans="1:14" ht="16.5" customHeight="1">
      <c r="A114" s="2"/>
      <c r="N114" s="2"/>
    </row>
    <row r="115" spans="1:14" ht="16.5" customHeight="1">
      <c r="A115" s="2"/>
      <c r="N115" s="2"/>
    </row>
    <row r="116" spans="1:14" ht="16.5" customHeight="1">
      <c r="A116" s="2"/>
      <c r="N116" s="2"/>
    </row>
    <row r="117" spans="1:14" ht="16.5" customHeight="1">
      <c r="A117" s="2"/>
      <c r="N117" s="2"/>
    </row>
    <row r="118" spans="1:14" ht="16.5" customHeight="1">
      <c r="A118" s="2"/>
      <c r="N118" s="2"/>
    </row>
    <row r="119" spans="1:14" ht="16.5" customHeight="1">
      <c r="A119" s="2"/>
      <c r="N119" s="2"/>
    </row>
    <row r="120" spans="1:14" ht="16.5" customHeight="1">
      <c r="A120" s="2"/>
      <c r="N120" s="2"/>
    </row>
    <row r="121" spans="1:14" ht="16.5" customHeight="1">
      <c r="A121" s="2"/>
      <c r="N121" s="2"/>
    </row>
    <row r="122" spans="1:14" ht="16.5" customHeight="1">
      <c r="A122" s="2"/>
      <c r="N122" s="2"/>
    </row>
    <row r="123" spans="1:14" ht="16.5" customHeight="1">
      <c r="A123" s="2"/>
      <c r="N123" s="2"/>
    </row>
    <row r="124" spans="1:14" ht="16.5" customHeight="1">
      <c r="A124" s="2"/>
      <c r="N124" s="2"/>
    </row>
    <row r="125" spans="1:14" ht="16.5" customHeight="1">
      <c r="A125" s="2"/>
      <c r="N125" s="2"/>
    </row>
    <row r="126" spans="1:14" ht="16.5" customHeight="1">
      <c r="A126" s="2"/>
      <c r="N126" s="2"/>
    </row>
    <row r="127" spans="1:14" ht="16.5" customHeight="1">
      <c r="A127" s="2"/>
      <c r="N127" s="2"/>
    </row>
    <row r="128" spans="1:14" ht="16.5" customHeight="1">
      <c r="A128" s="2"/>
      <c r="N128" s="2"/>
    </row>
    <row r="129" spans="1:14" ht="16.5" customHeight="1">
      <c r="A129" s="2"/>
      <c r="N129" s="2"/>
    </row>
    <row r="130" spans="1:14" ht="16.5" customHeight="1">
      <c r="A130" s="2"/>
      <c r="N130" s="2"/>
    </row>
    <row r="131" spans="1:14" ht="16.5" customHeight="1">
      <c r="A131" s="2"/>
      <c r="N131" s="2"/>
    </row>
    <row r="132" spans="1:14" ht="16.5" customHeight="1">
      <c r="A132" s="2"/>
      <c r="N132" s="2"/>
    </row>
    <row r="133" spans="1:14" ht="16.5" customHeight="1">
      <c r="A133" s="2"/>
      <c r="N133" s="2"/>
    </row>
    <row r="134" spans="1:14" ht="16.5" customHeight="1">
      <c r="A134" s="2"/>
      <c r="N134" s="2"/>
    </row>
    <row r="135" spans="1:14" ht="16.5" customHeight="1">
      <c r="A135" s="2"/>
      <c r="N135" s="2"/>
    </row>
    <row r="136" spans="1:14" ht="16.5" customHeight="1">
      <c r="A136" s="2"/>
      <c r="N136" s="2"/>
    </row>
    <row r="137" spans="1:14" ht="16.5" customHeight="1">
      <c r="A137" s="2"/>
      <c r="N137" s="2"/>
    </row>
    <row r="138" spans="1:14" ht="16.5" customHeight="1">
      <c r="A138" s="2"/>
      <c r="N138" s="2"/>
    </row>
    <row r="139" spans="1:14" ht="16.5" customHeight="1">
      <c r="A139" s="2"/>
      <c r="N139" s="2"/>
    </row>
    <row r="140" spans="1:14" ht="16.5" customHeight="1">
      <c r="A140" s="2"/>
      <c r="N140" s="2"/>
    </row>
    <row r="141" spans="1:14" ht="16.5" customHeight="1">
      <c r="A141" s="2"/>
      <c r="N141" s="2"/>
    </row>
    <row r="142" spans="1:14" ht="16.5" customHeight="1">
      <c r="A142" s="2"/>
      <c r="N142" s="2"/>
    </row>
    <row r="143" spans="1:14" ht="16.5" customHeight="1">
      <c r="A143" s="2"/>
      <c r="N143" s="2"/>
    </row>
    <row r="144" spans="1:14" ht="16.5" customHeight="1">
      <c r="A144" s="2"/>
      <c r="N144" s="2"/>
    </row>
    <row r="145" spans="1:14" ht="16.5" customHeight="1">
      <c r="A145" s="2"/>
      <c r="N145" s="2"/>
    </row>
    <row r="146" spans="1:14" ht="16.5" customHeight="1">
      <c r="A146" s="2"/>
      <c r="N146" s="2"/>
    </row>
    <row r="147" spans="1:14" ht="16.5" customHeight="1">
      <c r="A147" s="2"/>
      <c r="N147" s="2"/>
    </row>
    <row r="148" spans="1:14" ht="16.5" customHeight="1">
      <c r="A148" s="2"/>
      <c r="N148" s="2"/>
    </row>
    <row r="149" spans="1:14" ht="16.5" customHeight="1">
      <c r="A149" s="2"/>
      <c r="N149" s="2"/>
    </row>
    <row r="150" spans="1:14" ht="16.5" customHeight="1">
      <c r="A150" s="2"/>
      <c r="N150" s="2"/>
    </row>
    <row r="151" spans="1:14" ht="16.5" customHeight="1">
      <c r="A151" s="2"/>
      <c r="N151" s="2"/>
    </row>
    <row r="152" spans="1:14" ht="16.5" customHeight="1">
      <c r="A152" s="2"/>
      <c r="N152" s="2"/>
    </row>
    <row r="153" spans="1:14" ht="16.5" customHeight="1">
      <c r="A153" s="2"/>
      <c r="N153" s="2"/>
    </row>
    <row r="154" spans="1:14" ht="16.5" customHeight="1">
      <c r="A154" s="2"/>
      <c r="N154" s="2"/>
    </row>
    <row r="155" spans="1:14" ht="16.5" customHeight="1">
      <c r="A155" s="2"/>
      <c r="N155" s="2"/>
    </row>
    <row r="156" spans="1:14" ht="16.5" customHeight="1">
      <c r="A156" s="2"/>
      <c r="N156" s="2"/>
    </row>
    <row r="157" spans="1:14" ht="16.5" customHeight="1">
      <c r="A157" s="2"/>
      <c r="N157" s="2"/>
    </row>
    <row r="158" spans="1:14" ht="16.5" customHeight="1">
      <c r="A158" s="2"/>
      <c r="N158" s="2"/>
    </row>
    <row r="159" spans="1:14" ht="16.5" customHeight="1">
      <c r="A159" s="2"/>
      <c r="N159" s="2"/>
    </row>
    <row r="160" spans="1:14" ht="16.5" customHeight="1">
      <c r="A160" s="2"/>
      <c r="N160" s="2"/>
    </row>
    <row r="161" spans="1:14" ht="16.5" customHeight="1">
      <c r="A161" s="2"/>
      <c r="N161" s="2"/>
    </row>
    <row r="162" spans="1:14" ht="16.5" customHeight="1">
      <c r="A162" s="2"/>
      <c r="N162" s="2"/>
    </row>
    <row r="163" spans="1:14" ht="16.5" customHeight="1">
      <c r="A163" s="2"/>
      <c r="N163" s="2"/>
    </row>
    <row r="164" spans="1:14" ht="16.5" customHeight="1">
      <c r="A164" s="2"/>
      <c r="N164" s="2"/>
    </row>
    <row r="165" spans="1:14" ht="16.5" customHeight="1">
      <c r="A165" s="2"/>
      <c r="N165" s="2"/>
    </row>
    <row r="166" spans="1:14" ht="16.5" customHeight="1">
      <c r="A166" s="2"/>
      <c r="N166" s="2"/>
    </row>
    <row r="167" spans="1:14" ht="16.5" customHeight="1">
      <c r="A167" s="2"/>
      <c r="N167" s="2"/>
    </row>
    <row r="168" spans="1:14" ht="16.5" customHeight="1">
      <c r="A168" s="2"/>
      <c r="N168" s="2"/>
    </row>
    <row r="169" spans="1:14" ht="16.5" customHeight="1">
      <c r="A169" s="2"/>
      <c r="N169" s="2"/>
    </row>
    <row r="170" spans="1:14" ht="16.5" customHeight="1">
      <c r="A170" s="2"/>
      <c r="N170" s="2"/>
    </row>
    <row r="171" spans="1:14" ht="16.5" customHeight="1">
      <c r="A171" s="2"/>
      <c r="N171" s="2"/>
    </row>
    <row r="172" spans="1:14" ht="16.5" customHeight="1">
      <c r="A172" s="2"/>
      <c r="N172" s="2"/>
    </row>
    <row r="173" spans="1:14" ht="16.5" customHeight="1">
      <c r="A173" s="2"/>
      <c r="N173" s="2"/>
    </row>
    <row r="174" spans="1:14" ht="16.5" customHeight="1">
      <c r="A174" s="2"/>
      <c r="N174" s="2"/>
    </row>
    <row r="175" spans="1:14" ht="16.5" customHeight="1">
      <c r="A175" s="2"/>
      <c r="N175" s="2"/>
    </row>
    <row r="176" spans="1:14" ht="16.5" customHeight="1">
      <c r="A176" s="2"/>
      <c r="N176" s="2"/>
    </row>
    <row r="177" spans="1:14" ht="16.5" customHeight="1">
      <c r="A177" s="2"/>
      <c r="N177" s="2"/>
    </row>
    <row r="178" spans="1:14" ht="16.5" customHeight="1">
      <c r="A178" s="2"/>
      <c r="N178" s="2"/>
    </row>
    <row r="179" spans="1:14" ht="16.5" customHeight="1">
      <c r="A179" s="2"/>
      <c r="N179" s="2"/>
    </row>
    <row r="180" spans="1:14" ht="16.5" customHeight="1">
      <c r="A180" s="2"/>
      <c r="N180" s="2"/>
    </row>
    <row r="181" spans="1:14" ht="16.5" customHeight="1">
      <c r="A181" s="2"/>
      <c r="N181" s="2"/>
    </row>
    <row r="182" spans="1:14" ht="16.5" customHeight="1">
      <c r="A182" s="2"/>
      <c r="N182" s="2"/>
    </row>
    <row r="183" spans="1:14" ht="16.5" customHeight="1">
      <c r="A183" s="2"/>
      <c r="N183" s="2"/>
    </row>
    <row r="184" spans="1:14" ht="16.5" customHeight="1">
      <c r="A184" s="2"/>
      <c r="N184" s="2"/>
    </row>
    <row r="185" spans="1:14" ht="16.5" customHeight="1">
      <c r="A185" s="2"/>
      <c r="N185" s="2"/>
    </row>
    <row r="186" spans="1:14" ht="16.5" customHeight="1">
      <c r="A186" s="2"/>
      <c r="N186" s="2"/>
    </row>
    <row r="187" spans="1:14" ht="16.5" customHeight="1">
      <c r="A187" s="2"/>
      <c r="N187" s="2"/>
    </row>
    <row r="188" spans="1:14" ht="16.5" customHeight="1">
      <c r="A188" s="2"/>
      <c r="N188" s="2"/>
    </row>
    <row r="189" spans="1:14" ht="16.5" customHeight="1">
      <c r="A189" s="2"/>
      <c r="N189" s="2"/>
    </row>
    <row r="190" spans="1:14" ht="16.5" customHeight="1">
      <c r="A190" s="2"/>
      <c r="N190" s="2"/>
    </row>
    <row r="191" spans="1:14" ht="16.5" customHeight="1">
      <c r="A191" s="2"/>
      <c r="N191" s="2"/>
    </row>
    <row r="192" spans="1:14" ht="16.5" customHeight="1">
      <c r="A192" s="2"/>
      <c r="N192" s="2"/>
    </row>
    <row r="193" spans="1:14" ht="16.5" customHeight="1">
      <c r="A193" s="2"/>
      <c r="N193" s="2"/>
    </row>
    <row r="194" spans="1:14" ht="16.5" customHeight="1">
      <c r="A194" s="2"/>
      <c r="N194" s="2"/>
    </row>
    <row r="195" spans="1:14" ht="16.5" customHeight="1">
      <c r="A195" s="2"/>
      <c r="N195" s="2"/>
    </row>
    <row r="196" spans="1:14" ht="16.5" customHeight="1">
      <c r="A196" s="2"/>
      <c r="N196" s="2"/>
    </row>
    <row r="197" spans="1:14" ht="16.5" customHeight="1">
      <c r="A197" s="2"/>
      <c r="N197" s="2"/>
    </row>
    <row r="198" spans="1:14" ht="16.5" customHeight="1">
      <c r="A198" s="2"/>
      <c r="N198" s="2"/>
    </row>
    <row r="199" spans="1:14" ht="16.5" customHeight="1">
      <c r="A199" s="2"/>
      <c r="N199" s="2"/>
    </row>
    <row r="200" spans="1:14" ht="16.5" customHeight="1">
      <c r="A200" s="2"/>
      <c r="N200" s="2"/>
    </row>
    <row r="201" spans="1:14" ht="16.5" customHeight="1">
      <c r="A201" s="2"/>
      <c r="N201" s="2"/>
    </row>
    <row r="202" spans="1:14" ht="16.5" customHeight="1">
      <c r="A202" s="2"/>
      <c r="N202" s="2"/>
    </row>
    <row r="203" spans="1:14" ht="16.5" customHeight="1">
      <c r="A203" s="2"/>
      <c r="N203" s="2"/>
    </row>
    <row r="204" spans="1:14" ht="16.5" customHeight="1">
      <c r="A204" s="2"/>
      <c r="N204" s="2"/>
    </row>
    <row r="205" spans="1:14" ht="16.5" customHeight="1">
      <c r="A205" s="2"/>
      <c r="N205" s="2"/>
    </row>
    <row r="206" spans="1:14" ht="16.5" customHeight="1">
      <c r="A206" s="2"/>
      <c r="N206" s="2"/>
    </row>
    <row r="207" spans="1:14" ht="16.5" customHeight="1">
      <c r="A207" s="2"/>
      <c r="N207" s="2"/>
    </row>
    <row r="208" spans="1:14" ht="16.5" customHeight="1">
      <c r="A208" s="2"/>
      <c r="N208" s="2"/>
    </row>
    <row r="209" spans="1:14" ht="16.5" customHeight="1">
      <c r="A209" s="2"/>
      <c r="N209" s="2"/>
    </row>
    <row r="210" spans="1:14" ht="16.5" customHeight="1">
      <c r="A210" s="2"/>
      <c r="N210" s="2"/>
    </row>
    <row r="211" spans="1:14" ht="16.5" customHeight="1">
      <c r="A211" s="2"/>
      <c r="N211" s="2"/>
    </row>
    <row r="212" spans="1:14" ht="16.5" customHeight="1">
      <c r="A212" s="2"/>
      <c r="N212" s="2"/>
    </row>
    <row r="213" spans="1:14" ht="16.5" customHeight="1">
      <c r="A213" s="2"/>
      <c r="N213" s="2"/>
    </row>
    <row r="214" spans="1:14" ht="16.5" customHeight="1">
      <c r="A214" s="2"/>
      <c r="N214" s="2"/>
    </row>
    <row r="215" spans="1:14" ht="16.5" customHeight="1">
      <c r="A215" s="2"/>
      <c r="N215" s="2"/>
    </row>
    <row r="216" spans="1:14" ht="16.5" customHeight="1">
      <c r="A216" s="2"/>
      <c r="N216" s="2"/>
    </row>
    <row r="217" spans="1:14" ht="16.5" customHeight="1">
      <c r="A217" s="2"/>
      <c r="N217" s="2"/>
    </row>
    <row r="218" spans="1:14" ht="16.5" customHeight="1">
      <c r="A218" s="2"/>
      <c r="N218" s="2"/>
    </row>
    <row r="219" spans="1:14" ht="16.5" customHeight="1">
      <c r="A219" s="2"/>
      <c r="N219" s="2"/>
    </row>
    <row r="220" spans="1:14" ht="16.5" customHeight="1">
      <c r="A220" s="2"/>
      <c r="N220" s="2"/>
    </row>
    <row r="221" spans="1:14" ht="16.5" customHeight="1">
      <c r="A221" s="2"/>
      <c r="N221" s="2"/>
    </row>
    <row r="222" spans="1:14" ht="16.5" customHeight="1">
      <c r="A222" s="2"/>
      <c r="N222" s="2"/>
    </row>
    <row r="223" spans="1:14" ht="16.5" customHeight="1">
      <c r="A223" s="2"/>
      <c r="N223" s="2"/>
    </row>
    <row r="224" spans="1:14" ht="16.5" customHeight="1">
      <c r="A224" s="2"/>
      <c r="N224" s="2"/>
    </row>
    <row r="225" spans="1:14" ht="16.5" customHeight="1">
      <c r="A225" s="2"/>
      <c r="N225" s="2"/>
    </row>
    <row r="226" spans="1:14" ht="16.5" customHeight="1">
      <c r="A226" s="2"/>
      <c r="N226" s="2"/>
    </row>
    <row r="227" spans="1:14" ht="16.5" customHeight="1">
      <c r="A227" s="2"/>
      <c r="N227" s="2"/>
    </row>
    <row r="228" spans="1:14" ht="16.5" customHeight="1">
      <c r="A228" s="2"/>
      <c r="N228" s="2"/>
    </row>
    <row r="229" spans="1:14" ht="16.5" customHeight="1">
      <c r="A229" s="2"/>
      <c r="N229" s="2"/>
    </row>
    <row r="230" spans="1:14" ht="16.5" customHeight="1">
      <c r="A230" s="2"/>
      <c r="N230" s="2"/>
    </row>
    <row r="231" spans="1:14" ht="16.5" customHeight="1">
      <c r="A231" s="2"/>
      <c r="N231" s="2"/>
    </row>
    <row r="232" spans="1:14" ht="16.5" customHeight="1">
      <c r="A232" s="2"/>
      <c r="N232" s="2"/>
    </row>
    <row r="233" spans="1:14" ht="16.5" customHeight="1">
      <c r="A233" s="2"/>
      <c r="N233" s="2"/>
    </row>
    <row r="234" spans="1:14" ht="16.5" customHeight="1">
      <c r="A234" s="2"/>
      <c r="N234" s="2"/>
    </row>
    <row r="235" spans="1:14" ht="16.5" customHeight="1">
      <c r="A235" s="2"/>
      <c r="N235" s="2"/>
    </row>
    <row r="236" spans="1:14" ht="16.5" customHeight="1">
      <c r="A236" s="2"/>
      <c r="N236" s="2"/>
    </row>
    <row r="237" spans="1:14" ht="16.5" customHeight="1">
      <c r="A237" s="2"/>
      <c r="N237" s="2"/>
    </row>
    <row r="238" spans="1:14" ht="16.5" customHeight="1">
      <c r="A238" s="2"/>
      <c r="N238" s="2"/>
    </row>
    <row r="239" spans="1:14" ht="16.5" customHeight="1">
      <c r="A239" s="2"/>
      <c r="N239" s="2"/>
    </row>
    <row r="240" spans="1:14" ht="16.5" customHeight="1">
      <c r="A240" s="2"/>
      <c r="N240" s="2"/>
    </row>
    <row r="241" spans="1:14" ht="16.5" customHeight="1">
      <c r="A241" s="2"/>
      <c r="N241" s="2"/>
    </row>
    <row r="242" spans="1:14" ht="16.5" customHeight="1">
      <c r="A242" s="2"/>
      <c r="N242" s="2"/>
    </row>
    <row r="243" spans="1:14" ht="16.5" customHeight="1">
      <c r="A243" s="2"/>
      <c r="N243" s="2"/>
    </row>
    <row r="244" spans="1:14" ht="16.5" customHeight="1">
      <c r="A244" s="2"/>
      <c r="N244" s="2"/>
    </row>
    <row r="245" spans="1:14" ht="16.5" customHeight="1">
      <c r="A245" s="2"/>
      <c r="N245" s="2"/>
    </row>
    <row r="246" spans="1:14" ht="16.5" customHeight="1">
      <c r="A246" s="2"/>
      <c r="N246" s="2"/>
    </row>
    <row r="247" spans="1:14" ht="16.5" customHeight="1">
      <c r="A247" s="2"/>
      <c r="N247" s="2"/>
    </row>
    <row r="248" spans="1:14" ht="16.5" customHeight="1">
      <c r="A248" s="2"/>
      <c r="N248" s="2"/>
    </row>
    <row r="249" spans="1:14" ht="16.5" customHeight="1">
      <c r="A249" s="2"/>
      <c r="N249" s="2"/>
    </row>
    <row r="250" spans="1:14" ht="16.5" customHeight="1">
      <c r="A250" s="2"/>
      <c r="N250" s="2"/>
    </row>
    <row r="251" spans="1:14" ht="16.5" customHeight="1">
      <c r="A251" s="2"/>
      <c r="N251" s="2"/>
    </row>
    <row r="252" spans="1:14" ht="16.5" customHeight="1">
      <c r="A252" s="2"/>
      <c r="N252" s="2"/>
    </row>
    <row r="253" spans="1:14" ht="16.5" customHeight="1">
      <c r="A253" s="2"/>
      <c r="N253" s="2"/>
    </row>
    <row r="254" spans="1:14" ht="16.5" customHeight="1">
      <c r="A254" s="2"/>
      <c r="N254" s="2"/>
    </row>
    <row r="255" spans="1:14" ht="16.5" customHeight="1">
      <c r="A255" s="2"/>
      <c r="N255" s="2"/>
    </row>
    <row r="256" spans="1:14" ht="16.5" customHeight="1">
      <c r="A256" s="2"/>
      <c r="N256" s="2"/>
    </row>
    <row r="257" spans="1:14" ht="16.5" customHeight="1">
      <c r="A257" s="2"/>
      <c r="N257" s="2"/>
    </row>
    <row r="258" spans="1:14" ht="16.5" customHeight="1">
      <c r="A258" s="2"/>
      <c r="N258" s="2"/>
    </row>
    <row r="259" spans="1:14" ht="16.5" customHeight="1">
      <c r="A259" s="2"/>
      <c r="N259" s="2"/>
    </row>
    <row r="260" spans="1:14" ht="16.5" customHeight="1">
      <c r="A260" s="2"/>
      <c r="N260" s="2"/>
    </row>
    <row r="261" spans="1:14" ht="16.5" customHeight="1">
      <c r="A261" s="2"/>
      <c r="N261" s="2"/>
    </row>
    <row r="262" spans="1:14" ht="16.5" customHeight="1">
      <c r="A262" s="2"/>
      <c r="N262" s="2"/>
    </row>
    <row r="263" spans="1:14" ht="16.5" customHeight="1">
      <c r="A263" s="2"/>
      <c r="N263" s="2"/>
    </row>
    <row r="264" spans="1:14" ht="16.5" customHeight="1">
      <c r="A264" s="2"/>
      <c r="N264" s="2"/>
    </row>
    <row r="265" spans="1:14" ht="16.5" customHeight="1">
      <c r="A265" s="2"/>
      <c r="N265" s="2"/>
    </row>
    <row r="266" spans="1:14" ht="16.5" customHeight="1">
      <c r="A266" s="2"/>
      <c r="N266" s="2"/>
    </row>
    <row r="267" spans="1:14" ht="16.5" customHeight="1">
      <c r="A267" s="2"/>
      <c r="N267" s="2"/>
    </row>
    <row r="268" spans="1:14" ht="16.5" customHeight="1">
      <c r="A268" s="2"/>
      <c r="N268" s="2"/>
    </row>
    <row r="269" spans="1:14" ht="16.5" customHeight="1">
      <c r="A269" s="2"/>
      <c r="N269" s="2"/>
    </row>
    <row r="270" spans="1:14" ht="16.5" customHeight="1">
      <c r="A270" s="2"/>
      <c r="N270" s="2"/>
    </row>
    <row r="271" spans="1:14" ht="16.5" customHeight="1">
      <c r="A271" s="2"/>
      <c r="N271" s="2"/>
    </row>
    <row r="272" spans="1:14" ht="16.5" customHeight="1">
      <c r="A272" s="2"/>
      <c r="N272" s="2"/>
    </row>
    <row r="273" spans="1:14" ht="16.5" customHeight="1">
      <c r="A273" s="2"/>
      <c r="N273" s="2"/>
    </row>
    <row r="274" spans="1:14" ht="16.5" customHeight="1">
      <c r="A274" s="2"/>
      <c r="N274" s="2"/>
    </row>
    <row r="275" spans="1:14" ht="16.5" customHeight="1">
      <c r="A275" s="2"/>
      <c r="N275" s="2"/>
    </row>
    <row r="276" spans="1:14" ht="16.5" customHeight="1">
      <c r="A276" s="2"/>
      <c r="N276" s="2"/>
    </row>
    <row r="277" spans="1:14" ht="16.5" customHeight="1">
      <c r="A277" s="2"/>
      <c r="N277" s="2"/>
    </row>
    <row r="278" spans="1:14" ht="16.5" customHeight="1">
      <c r="A278" s="2"/>
      <c r="N278" s="2"/>
    </row>
    <row r="279" spans="1:14" ht="16.5" customHeight="1">
      <c r="A279" s="2"/>
      <c r="N279" s="2"/>
    </row>
    <row r="280" spans="1:14" ht="16.5" customHeight="1">
      <c r="A280" s="2"/>
      <c r="N280" s="2"/>
    </row>
    <row r="281" spans="1:14" ht="16.5" customHeight="1">
      <c r="A281" s="2"/>
      <c r="N281" s="2"/>
    </row>
    <row r="282" spans="1:14" ht="16.5" customHeight="1">
      <c r="A282" s="2"/>
      <c r="N282" s="2"/>
    </row>
    <row r="283" spans="1:14" ht="16.5" customHeight="1">
      <c r="A283" s="2"/>
      <c r="N283" s="2"/>
    </row>
    <row r="284" spans="1:14" ht="16.5" customHeight="1">
      <c r="A284" s="2"/>
      <c r="N284" s="2"/>
    </row>
    <row r="285" spans="1:14" ht="16.5" customHeight="1">
      <c r="A285" s="2"/>
      <c r="N285" s="2"/>
    </row>
    <row r="286" spans="1:14" ht="16.5" customHeight="1">
      <c r="A286" s="2"/>
      <c r="N286" s="2"/>
    </row>
    <row r="287" spans="1:14" ht="16.5" customHeight="1">
      <c r="A287" s="2"/>
      <c r="N287" s="2"/>
    </row>
    <row r="288" spans="1:14" ht="16.5" customHeight="1">
      <c r="A288" s="2"/>
      <c r="N288" s="2"/>
    </row>
    <row r="289" spans="1:14" ht="16.5" customHeight="1">
      <c r="A289" s="2"/>
      <c r="N289" s="2"/>
    </row>
    <row r="290" spans="1:14" ht="16.5" customHeight="1">
      <c r="A290" s="2"/>
      <c r="N290" s="2"/>
    </row>
    <row r="291" spans="1:14" ht="16.5" customHeight="1">
      <c r="A291" s="2"/>
      <c r="N291" s="2"/>
    </row>
    <row r="292" spans="1:14" ht="16.5" customHeight="1">
      <c r="A292" s="2"/>
      <c r="N292" s="2"/>
    </row>
    <row r="293" spans="1:14" ht="16.5" customHeight="1">
      <c r="A293" s="2"/>
      <c r="N293" s="2"/>
    </row>
    <row r="294" spans="1:14" ht="16.5" customHeight="1">
      <c r="A294" s="2"/>
      <c r="N294" s="2"/>
    </row>
    <row r="295" spans="1:14" ht="16.5" customHeight="1">
      <c r="A295" s="2"/>
      <c r="N295" s="2"/>
    </row>
    <row r="296" spans="1:14" ht="16.5" customHeight="1">
      <c r="A296" s="2"/>
      <c r="N296" s="2"/>
    </row>
    <row r="297" spans="1:14" ht="16.5" customHeight="1">
      <c r="A297" s="2"/>
      <c r="N297" s="2"/>
    </row>
    <row r="298" spans="1:14" ht="16.5" customHeight="1">
      <c r="A298" s="2"/>
      <c r="N298" s="2"/>
    </row>
    <row r="299" spans="1:14" ht="16.5" customHeight="1">
      <c r="A299" s="2"/>
      <c r="N299" s="2"/>
    </row>
    <row r="300" spans="1:14" ht="16.5" customHeight="1">
      <c r="A300" s="2"/>
      <c r="N300" s="2"/>
    </row>
    <row r="301" spans="1:14" ht="16.5" customHeight="1">
      <c r="A301" s="2"/>
      <c r="N301" s="2"/>
    </row>
    <row r="302" spans="1:14" ht="16.5" customHeight="1">
      <c r="A302" s="2"/>
      <c r="N302" s="2"/>
    </row>
    <row r="303" spans="1:14" ht="16.5" customHeight="1">
      <c r="A303" s="2"/>
      <c r="N303" s="2"/>
    </row>
    <row r="304" spans="1:14" ht="16.5" customHeight="1">
      <c r="A304" s="2"/>
      <c r="N304" s="2"/>
    </row>
    <row r="305" spans="1:14" ht="16.5" customHeight="1">
      <c r="A305" s="2"/>
      <c r="N305" s="2"/>
    </row>
    <row r="306" spans="1:14" ht="16.5" customHeight="1">
      <c r="A306" s="2"/>
      <c r="N306" s="2"/>
    </row>
    <row r="307" spans="1:14" ht="16.5" customHeight="1">
      <c r="A307" s="2"/>
      <c r="N307" s="2"/>
    </row>
    <row r="308" spans="1:14" ht="16.5" customHeight="1">
      <c r="A308" s="2"/>
      <c r="N308" s="2"/>
    </row>
    <row r="309" spans="1:14" ht="16.5" customHeight="1">
      <c r="A309" s="2"/>
      <c r="N309" s="2"/>
    </row>
    <row r="310" spans="1:14" ht="16.5" customHeight="1">
      <c r="A310" s="2"/>
      <c r="N310" s="2"/>
    </row>
    <row r="311" spans="1:14" ht="16.5" customHeight="1">
      <c r="A311" s="2"/>
      <c r="N311" s="2"/>
    </row>
    <row r="312" spans="1:14" ht="16.5" customHeight="1">
      <c r="A312" s="2"/>
      <c r="N312" s="2"/>
    </row>
    <row r="313" spans="1:14" ht="16.5" customHeight="1">
      <c r="A313" s="2"/>
      <c r="N313" s="2"/>
    </row>
    <row r="314" spans="1:14" ht="16.5" customHeight="1">
      <c r="A314" s="2"/>
      <c r="N314" s="2"/>
    </row>
    <row r="315" spans="1:14" ht="16.5" customHeight="1">
      <c r="A315" s="2"/>
      <c r="N315" s="2"/>
    </row>
    <row r="316" spans="1:14" ht="16.5" customHeight="1">
      <c r="A316" s="2"/>
      <c r="N316" s="2"/>
    </row>
    <row r="317" spans="1:14" ht="16.5" customHeight="1">
      <c r="A317" s="2"/>
      <c r="N317" s="2"/>
    </row>
    <row r="318" spans="1:14" ht="16.5" customHeight="1">
      <c r="A318" s="2"/>
      <c r="N318" s="2"/>
    </row>
    <row r="319" spans="1:14" ht="16.5" customHeight="1">
      <c r="A319" s="2"/>
      <c r="N319" s="2"/>
    </row>
    <row r="320" spans="1:14" ht="16.5" customHeight="1">
      <c r="A320" s="2"/>
      <c r="N320" s="2"/>
    </row>
    <row r="321" spans="1:14" ht="16.5" customHeight="1">
      <c r="A321" s="2"/>
      <c r="N321" s="2"/>
    </row>
    <row r="322" spans="1:14" ht="16.5" customHeight="1">
      <c r="A322" s="2"/>
      <c r="N322" s="2"/>
    </row>
    <row r="323" spans="1:14" ht="16.5" customHeight="1">
      <c r="A323" s="2"/>
      <c r="N323" s="2"/>
    </row>
    <row r="324" spans="1:14" ht="16.5" customHeight="1">
      <c r="A324" s="2"/>
      <c r="N324" s="2"/>
    </row>
    <row r="325" spans="1:14" ht="16.5" customHeight="1">
      <c r="A325" s="2"/>
      <c r="N325" s="2"/>
    </row>
    <row r="326" spans="1:14" ht="16.5" customHeight="1">
      <c r="A326" s="2"/>
      <c r="N326" s="2"/>
    </row>
    <row r="327" spans="1:14" ht="16.5" customHeight="1">
      <c r="A327" s="2"/>
      <c r="N327" s="2"/>
    </row>
    <row r="328" spans="1:14" ht="16.5" customHeight="1">
      <c r="A328" s="2"/>
      <c r="N328" s="2"/>
    </row>
    <row r="329" spans="1:14" ht="16.5" customHeight="1">
      <c r="A329" s="2"/>
      <c r="N329" s="2"/>
    </row>
    <row r="330" spans="1:14" ht="16.5" customHeight="1">
      <c r="A330" s="2"/>
      <c r="N330" s="2"/>
    </row>
    <row r="331" spans="1:14" ht="16.5" customHeight="1">
      <c r="A331" s="2"/>
      <c r="N331" s="2"/>
    </row>
    <row r="332" spans="1:14" ht="16.5" customHeight="1">
      <c r="A332" s="2"/>
      <c r="N332" s="2"/>
    </row>
    <row r="333" spans="1:14" ht="16.5" customHeight="1">
      <c r="A333" s="2"/>
      <c r="N333" s="2"/>
    </row>
    <row r="334" spans="1:14" ht="16.5" customHeight="1">
      <c r="A334" s="2"/>
      <c r="N334" s="2"/>
    </row>
    <row r="335" spans="1:14" ht="16.5" customHeight="1">
      <c r="A335" s="2"/>
      <c r="N335" s="2"/>
    </row>
    <row r="336" spans="1:14" ht="16.5" customHeight="1">
      <c r="A336" s="2"/>
      <c r="N336" s="2"/>
    </row>
    <row r="337" spans="1:14" ht="16.5" customHeight="1">
      <c r="A337" s="2"/>
      <c r="N337" s="2"/>
    </row>
    <row r="338" spans="1:14" ht="16.5" customHeight="1">
      <c r="A338" s="2"/>
      <c r="N338" s="2"/>
    </row>
    <row r="339" spans="1:14" ht="16.5" customHeight="1">
      <c r="A339" s="2"/>
      <c r="N339" s="2"/>
    </row>
    <row r="340" spans="1:14" ht="16.5" customHeight="1">
      <c r="A340" s="2"/>
      <c r="N340" s="2"/>
    </row>
    <row r="341" spans="1:14" ht="16.5" customHeight="1">
      <c r="A341" s="2"/>
      <c r="N341" s="2"/>
    </row>
    <row r="342" spans="1:14" ht="16.5" customHeight="1">
      <c r="A342" s="2"/>
      <c r="N342" s="2"/>
    </row>
    <row r="343" spans="1:14" ht="16.5" customHeight="1">
      <c r="A343" s="2"/>
      <c r="N343" s="2"/>
    </row>
    <row r="344" spans="1:14" ht="16.5" customHeight="1">
      <c r="A344" s="2"/>
      <c r="N344" s="2"/>
    </row>
    <row r="345" spans="1:14" ht="16.5" customHeight="1">
      <c r="A345" s="2"/>
      <c r="N345" s="2"/>
    </row>
    <row r="346" spans="1:14" ht="16.5" customHeight="1">
      <c r="A346" s="2"/>
      <c r="N346" s="2"/>
    </row>
    <row r="347" spans="1:14" ht="16.5" customHeight="1">
      <c r="A347" s="2"/>
      <c r="N347" s="2"/>
    </row>
    <row r="348" spans="1:14" ht="16.5" customHeight="1">
      <c r="A348" s="2"/>
      <c r="N348" s="2"/>
    </row>
    <row r="349" spans="1:14" ht="16.5" customHeight="1">
      <c r="A349" s="2"/>
      <c r="N349" s="2"/>
    </row>
    <row r="350" spans="1:14" ht="16.5" customHeight="1">
      <c r="A350" s="2"/>
      <c r="N350" s="2"/>
    </row>
    <row r="351" spans="1:14" ht="16.5" customHeight="1">
      <c r="A351" s="2"/>
      <c r="N351" s="2"/>
    </row>
    <row r="352" spans="1:14" ht="16.5" customHeight="1">
      <c r="A352" s="2"/>
      <c r="N352" s="2"/>
    </row>
    <row r="353" spans="1:14" ht="16.5" customHeight="1">
      <c r="A353" s="2"/>
      <c r="N353" s="2"/>
    </row>
    <row r="354" spans="1:14" ht="16.5" customHeight="1">
      <c r="A354" s="2"/>
      <c r="N354" s="2"/>
    </row>
    <row r="355" spans="1:14" ht="16.5" customHeight="1">
      <c r="A355" s="2"/>
      <c r="N355" s="2"/>
    </row>
    <row r="356" spans="1:14" ht="16.5" customHeight="1">
      <c r="A356" s="2"/>
      <c r="N356" s="2"/>
    </row>
    <row r="357" spans="1:14" ht="16.5" customHeight="1">
      <c r="A357" s="2"/>
      <c r="N357" s="2"/>
    </row>
    <row r="358" spans="1:14" ht="16.5" customHeight="1">
      <c r="A358" s="2"/>
      <c r="N358" s="2"/>
    </row>
    <row r="359" spans="1:14" ht="16.5" customHeight="1">
      <c r="A359" s="2"/>
      <c r="N359" s="2"/>
    </row>
    <row r="360" spans="1:14" ht="16.5" customHeight="1">
      <c r="A360" s="2"/>
      <c r="N360" s="2"/>
    </row>
    <row r="361" spans="1:14" ht="16.5" customHeight="1">
      <c r="A361" s="2"/>
      <c r="N361" s="2"/>
    </row>
    <row r="362" spans="1:14" ht="16.5" customHeight="1">
      <c r="A362" s="2"/>
      <c r="N362" s="2"/>
    </row>
    <row r="363" spans="1:14" ht="16.5" customHeight="1">
      <c r="A363" s="2"/>
      <c r="N363" s="2"/>
    </row>
    <row r="364" spans="1:14" ht="16.5" customHeight="1">
      <c r="A364" s="2"/>
      <c r="N364" s="2"/>
    </row>
    <row r="365" spans="1:14" ht="16.5" customHeight="1">
      <c r="A365" s="2"/>
      <c r="N365" s="2"/>
    </row>
    <row r="366" spans="1:14" ht="16.5" customHeight="1">
      <c r="A366" s="2"/>
      <c r="N366" s="2"/>
    </row>
    <row r="367" spans="1:14" ht="16.5" customHeight="1">
      <c r="A367" s="2"/>
      <c r="N367" s="2"/>
    </row>
    <row r="368" spans="1:14" ht="16.5" customHeight="1">
      <c r="A368" s="2"/>
      <c r="N368" s="2"/>
    </row>
    <row r="369" spans="1:14" ht="16.5" customHeight="1">
      <c r="A369" s="2"/>
      <c r="N369" s="2"/>
    </row>
    <row r="370" spans="1:14" ht="16.5" customHeight="1">
      <c r="A370" s="2"/>
      <c r="N370" s="2"/>
    </row>
    <row r="371" spans="1:14" ht="16.5" customHeight="1">
      <c r="A371" s="2"/>
      <c r="N371" s="2"/>
    </row>
    <row r="372" spans="1:14" ht="16.5" customHeight="1">
      <c r="A372" s="2"/>
      <c r="N372" s="2"/>
    </row>
    <row r="373" spans="1:14" ht="16.5" customHeight="1">
      <c r="A373" s="2"/>
      <c r="N373" s="2"/>
    </row>
    <row r="374" spans="1:14" ht="16.5" customHeight="1">
      <c r="A374" s="2"/>
      <c r="N374" s="2"/>
    </row>
    <row r="375" spans="1:14" ht="16.5" customHeight="1">
      <c r="A375" s="2"/>
      <c r="N375" s="2"/>
    </row>
    <row r="376" spans="1:14" ht="16.5" customHeight="1">
      <c r="A376" s="2"/>
      <c r="N376" s="2"/>
    </row>
    <row r="377" spans="1:14" ht="16.5" customHeight="1">
      <c r="A377" s="2"/>
      <c r="N377" s="2"/>
    </row>
    <row r="378" spans="1:14" ht="16.5" customHeight="1">
      <c r="A378" s="2"/>
      <c r="N378" s="2"/>
    </row>
    <row r="379" spans="1:14" ht="16.5" customHeight="1">
      <c r="A379" s="2"/>
      <c r="N379" s="2"/>
    </row>
    <row r="380" spans="1:14" ht="16.5" customHeight="1">
      <c r="A380" s="2"/>
      <c r="N380" s="2"/>
    </row>
    <row r="381" spans="1:14" ht="16.5" customHeight="1">
      <c r="A381" s="2"/>
      <c r="N381" s="2"/>
    </row>
    <row r="382" spans="1:14" ht="16.5" customHeight="1">
      <c r="A382" s="2"/>
      <c r="N382" s="2"/>
    </row>
    <row r="383" spans="1:14" ht="16.5" customHeight="1">
      <c r="A383" s="2"/>
      <c r="N383" s="2"/>
    </row>
    <row r="384" spans="1:14" ht="16.5" customHeight="1">
      <c r="A384" s="2"/>
      <c r="N384" s="2"/>
    </row>
    <row r="385" spans="1:14" ht="16.5" customHeight="1">
      <c r="A385" s="2"/>
      <c r="N385" s="2"/>
    </row>
    <row r="386" spans="1:14" ht="16.5" customHeight="1">
      <c r="A386" s="2"/>
      <c r="N386" s="2"/>
    </row>
    <row r="387" spans="1:14" ht="16.5" customHeight="1">
      <c r="A387" s="2"/>
      <c r="N387" s="2"/>
    </row>
    <row r="388" spans="1:14" ht="16.5" customHeight="1">
      <c r="A388" s="2"/>
      <c r="N388" s="2"/>
    </row>
    <row r="389" spans="1:14" ht="16.5" customHeight="1">
      <c r="A389" s="2"/>
      <c r="N389" s="2"/>
    </row>
    <row r="390" spans="1:14" ht="16.5" customHeight="1">
      <c r="A390" s="2"/>
      <c r="N390" s="2"/>
    </row>
    <row r="391" spans="1:14" ht="16.5" customHeight="1">
      <c r="A391" s="2"/>
      <c r="N391" s="2"/>
    </row>
    <row r="392" spans="1:14" ht="16.5" customHeight="1">
      <c r="A392" s="2"/>
      <c r="N392" s="2"/>
    </row>
    <row r="393" spans="1:14" ht="16.5" customHeight="1">
      <c r="A393" s="2"/>
      <c r="N393" s="2"/>
    </row>
    <row r="394" spans="1:14" ht="16.5" customHeight="1">
      <c r="A394" s="2"/>
      <c r="N394" s="2"/>
    </row>
    <row r="395" spans="1:14" ht="16.5" customHeight="1">
      <c r="A395" s="2"/>
      <c r="N395" s="2"/>
    </row>
    <row r="396" spans="1:14" ht="16.5" customHeight="1">
      <c r="A396" s="2"/>
      <c r="N396" s="2"/>
    </row>
    <row r="397" spans="1:14" ht="16.5" customHeight="1">
      <c r="A397" s="2"/>
      <c r="N397" s="2"/>
    </row>
    <row r="398" spans="1:14" ht="16.5" customHeight="1">
      <c r="A398" s="2"/>
      <c r="N398" s="2"/>
    </row>
    <row r="399" spans="1:14" ht="16.5" customHeight="1">
      <c r="A399" s="2"/>
      <c r="N399" s="2"/>
    </row>
    <row r="400" spans="1:14" ht="16.5" customHeight="1">
      <c r="A400" s="2"/>
      <c r="N400" s="2"/>
    </row>
    <row r="401" spans="1:14" ht="16.5" customHeight="1">
      <c r="A401" s="2"/>
      <c r="N401" s="2"/>
    </row>
    <row r="402" spans="1:14" ht="16.5" customHeight="1">
      <c r="A402" s="2"/>
      <c r="N402" s="2"/>
    </row>
    <row r="403" spans="1:14" ht="16.5" customHeight="1">
      <c r="A403" s="2"/>
      <c r="N403" s="2"/>
    </row>
    <row r="404" spans="1:14" ht="16.5" customHeight="1">
      <c r="A404" s="2"/>
      <c r="N404" s="2"/>
    </row>
    <row r="405" spans="1:14" ht="16.5" customHeight="1">
      <c r="A405" s="2"/>
      <c r="N405" s="2"/>
    </row>
    <row r="406" spans="1:14" ht="16.5" customHeight="1">
      <c r="A406" s="2"/>
      <c r="N406" s="2"/>
    </row>
    <row r="407" spans="1:14" ht="16.5" customHeight="1">
      <c r="A407" s="2"/>
      <c r="N407" s="2"/>
    </row>
    <row r="408" spans="1:14" ht="16.5" customHeight="1">
      <c r="A408" s="2"/>
      <c r="N408" s="2"/>
    </row>
    <row r="409" spans="1:14" ht="16.5" customHeight="1">
      <c r="A409" s="2"/>
      <c r="N409" s="2"/>
    </row>
    <row r="410" spans="1:14" ht="16.5" customHeight="1">
      <c r="A410" s="2"/>
      <c r="N410" s="2"/>
    </row>
    <row r="411" spans="1:14" ht="16.5" customHeight="1">
      <c r="A411" s="2"/>
      <c r="N411" s="2"/>
    </row>
    <row r="412" spans="1:14" ht="16.5" customHeight="1">
      <c r="A412" s="2"/>
      <c r="N412" s="2"/>
    </row>
    <row r="413" spans="1:14" ht="16.5" customHeight="1">
      <c r="A413" s="2"/>
      <c r="N413" s="2"/>
    </row>
    <row r="414" spans="1:14" ht="16.5" customHeight="1">
      <c r="A414" s="2"/>
      <c r="N414" s="2"/>
    </row>
    <row r="415" spans="1:14" ht="16.5" customHeight="1">
      <c r="A415" s="2"/>
      <c r="N415" s="2"/>
    </row>
    <row r="416" spans="1:14" ht="16.5" customHeight="1">
      <c r="A416" s="2"/>
      <c r="N416" s="2"/>
    </row>
    <row r="417" spans="1:14" ht="16.5" customHeight="1">
      <c r="A417" s="2"/>
      <c r="N417" s="2"/>
    </row>
    <row r="418" spans="1:14" ht="16.5" customHeight="1">
      <c r="A418" s="2"/>
      <c r="N418" s="2"/>
    </row>
    <row r="419" spans="1:14" ht="16.5" customHeight="1">
      <c r="A419" s="2"/>
      <c r="N419" s="2"/>
    </row>
    <row r="420" spans="1:14" ht="16.5" customHeight="1">
      <c r="A420" s="2"/>
      <c r="N420" s="2"/>
    </row>
    <row r="421" spans="1:14" ht="16.5" customHeight="1">
      <c r="A421" s="2"/>
      <c r="N421" s="2"/>
    </row>
    <row r="422" spans="1:14" ht="16.5" customHeight="1">
      <c r="A422" s="2"/>
      <c r="N422" s="2"/>
    </row>
    <row r="423" spans="1:14" ht="16.5" customHeight="1">
      <c r="A423" s="2"/>
      <c r="N423" s="2"/>
    </row>
    <row r="424" spans="1:14" ht="16.5" customHeight="1">
      <c r="A424" s="2"/>
      <c r="N424" s="2"/>
    </row>
    <row r="425" spans="1:14" ht="16.5" customHeight="1">
      <c r="A425" s="2"/>
      <c r="N425" s="2"/>
    </row>
    <row r="426" spans="1:14" ht="16.5" customHeight="1">
      <c r="A426" s="2"/>
      <c r="N426" s="2"/>
    </row>
    <row r="427" spans="1:14" ht="16.5" customHeight="1">
      <c r="A427" s="2"/>
      <c r="N427" s="2"/>
    </row>
    <row r="428" spans="1:14" ht="16.5" customHeight="1">
      <c r="A428" s="2"/>
      <c r="N428" s="2"/>
    </row>
    <row r="429" spans="1:14" ht="16.5" customHeight="1">
      <c r="A429" s="2"/>
      <c r="N429" s="2"/>
    </row>
    <row r="430" spans="1:14" ht="16.5" customHeight="1">
      <c r="A430" s="2"/>
      <c r="N430" s="2"/>
    </row>
    <row r="431" spans="1:14" ht="16.5" customHeight="1">
      <c r="A431" s="2"/>
      <c r="N431" s="2"/>
    </row>
    <row r="432" spans="1:14" ht="16.5" customHeight="1">
      <c r="A432" s="2"/>
      <c r="N432" s="2"/>
    </row>
    <row r="433" spans="1:14" ht="16.5" customHeight="1">
      <c r="A433" s="2"/>
      <c r="N433" s="2"/>
    </row>
    <row r="434" spans="1:14" ht="16.5" customHeight="1">
      <c r="A434" s="2"/>
      <c r="N434" s="2"/>
    </row>
    <row r="435" spans="1:14" ht="16.5" customHeight="1">
      <c r="A435" s="2"/>
      <c r="N435" s="2"/>
    </row>
    <row r="436" spans="1:14" ht="16.5" customHeight="1">
      <c r="A436" s="2"/>
      <c r="N436" s="2"/>
    </row>
    <row r="437" spans="1:14" ht="16.5" customHeight="1">
      <c r="A437" s="2"/>
      <c r="N437" s="2"/>
    </row>
    <row r="438" spans="1:14" ht="16.5" customHeight="1">
      <c r="A438" s="2"/>
      <c r="N438" s="2"/>
    </row>
    <row r="439" spans="1:14" ht="16.5" customHeight="1">
      <c r="A439" s="2"/>
      <c r="N439" s="2"/>
    </row>
    <row r="440" spans="1:14" ht="16.5" customHeight="1">
      <c r="A440" s="2"/>
      <c r="N440" s="2"/>
    </row>
    <row r="441" spans="1:14" ht="16.5" customHeight="1">
      <c r="A441" s="2"/>
      <c r="N441" s="2"/>
    </row>
    <row r="442" spans="1:14" ht="16.5" customHeight="1">
      <c r="A442" s="2"/>
      <c r="N442" s="2"/>
    </row>
    <row r="443" spans="1:14" ht="16.5" customHeight="1">
      <c r="A443" s="2"/>
      <c r="N443" s="2"/>
    </row>
    <row r="444" spans="1:14" ht="16.5" customHeight="1">
      <c r="A444" s="2"/>
      <c r="N444" s="2"/>
    </row>
    <row r="445" spans="1:14" ht="16.5" customHeight="1">
      <c r="A445" s="2"/>
      <c r="N445" s="2"/>
    </row>
    <row r="446" spans="1:14" ht="16.5" customHeight="1">
      <c r="A446" s="2"/>
      <c r="N446" s="2"/>
    </row>
    <row r="447" spans="1:14" ht="16.5" customHeight="1">
      <c r="A447" s="2"/>
      <c r="N447" s="2"/>
    </row>
    <row r="448" spans="1:14" ht="16.5" customHeight="1">
      <c r="A448" s="2"/>
      <c r="N448" s="2"/>
    </row>
    <row r="449" spans="1:14" ht="16.5" customHeight="1">
      <c r="A449" s="2"/>
      <c r="N449" s="2"/>
    </row>
    <row r="450" spans="1:14" ht="16.5" customHeight="1">
      <c r="A450" s="2"/>
      <c r="N450" s="2"/>
    </row>
    <row r="451" spans="1:14" ht="16.5" customHeight="1">
      <c r="A451" s="2"/>
      <c r="N451" s="2"/>
    </row>
    <row r="452" spans="1:14" ht="16.5" customHeight="1">
      <c r="A452" s="2"/>
      <c r="N452" s="2"/>
    </row>
    <row r="453" spans="1:14" ht="16.5" customHeight="1">
      <c r="A453" s="2"/>
      <c r="N453" s="2"/>
    </row>
    <row r="454" spans="1:14" ht="16.5" customHeight="1">
      <c r="A454" s="2"/>
      <c r="N454" s="2"/>
    </row>
    <row r="455" spans="1:14" ht="16.5" customHeight="1">
      <c r="A455" s="2"/>
      <c r="N455" s="2"/>
    </row>
    <row r="456" spans="1:14" ht="16.5" customHeight="1">
      <c r="A456" s="2"/>
      <c r="N456" s="2"/>
    </row>
    <row r="457" spans="1:14" ht="16.5" customHeight="1">
      <c r="A457" s="2"/>
      <c r="N457" s="2"/>
    </row>
    <row r="458" spans="1:14" ht="16.5" customHeight="1">
      <c r="A458" s="2"/>
      <c r="N458" s="2"/>
    </row>
    <row r="459" spans="1:14" ht="16.5" customHeight="1">
      <c r="A459" s="2"/>
      <c r="N459" s="2"/>
    </row>
    <row r="460" spans="1:14" ht="16.5" customHeight="1">
      <c r="A460" s="2"/>
      <c r="N460" s="2"/>
    </row>
    <row r="461" spans="1:14" ht="16.5" customHeight="1">
      <c r="A461" s="2"/>
      <c r="N461" s="2"/>
    </row>
    <row r="462" spans="1:14" ht="16.5" customHeight="1">
      <c r="A462" s="2"/>
      <c r="N462" s="2"/>
    </row>
    <row r="463" spans="1:14" ht="16.5" customHeight="1">
      <c r="A463" s="2"/>
      <c r="N463" s="2"/>
    </row>
    <row r="464" spans="1:14" ht="16.5" customHeight="1">
      <c r="A464" s="2"/>
      <c r="N464" s="2"/>
    </row>
    <row r="465" spans="1:14" ht="16.5" customHeight="1">
      <c r="A465" s="2"/>
      <c r="N465" s="2"/>
    </row>
    <row r="466" spans="1:14" ht="16.5" customHeight="1">
      <c r="A466" s="2"/>
      <c r="N466" s="2"/>
    </row>
    <row r="467" spans="1:14" ht="16.5" customHeight="1">
      <c r="A467" s="2"/>
      <c r="N467" s="2"/>
    </row>
    <row r="468" spans="1:14" ht="16.5" customHeight="1">
      <c r="A468" s="2"/>
      <c r="N468" s="2"/>
    </row>
    <row r="469" spans="1:14" ht="16.5" customHeight="1">
      <c r="A469" s="2"/>
      <c r="N469" s="2"/>
    </row>
    <row r="470" spans="1:14" ht="16.5" customHeight="1">
      <c r="A470" s="2"/>
      <c r="N470" s="2"/>
    </row>
    <row r="471" spans="1:14" ht="16.5" customHeight="1">
      <c r="A471" s="2"/>
      <c r="N471" s="2"/>
    </row>
    <row r="472" spans="1:14" ht="16.5" customHeight="1">
      <c r="A472" s="2"/>
      <c r="N472" s="2"/>
    </row>
    <row r="473" spans="1:14" ht="16.5" customHeight="1">
      <c r="A473" s="2"/>
      <c r="N473" s="2"/>
    </row>
    <row r="474" spans="1:14" ht="16.5" customHeight="1">
      <c r="A474" s="2"/>
      <c r="N474" s="2"/>
    </row>
    <row r="475" spans="1:14" ht="16.5" customHeight="1">
      <c r="A475" s="2"/>
      <c r="N475" s="2"/>
    </row>
    <row r="476" spans="1:14" ht="16.5" customHeight="1">
      <c r="A476" s="2"/>
      <c r="N476" s="2"/>
    </row>
    <row r="477" spans="1:14" ht="16.5" customHeight="1">
      <c r="A477" s="2"/>
      <c r="N477" s="2"/>
    </row>
    <row r="478" spans="1:14" ht="16.5" customHeight="1">
      <c r="A478" s="2"/>
      <c r="N478" s="2"/>
    </row>
    <row r="479" spans="1:14" ht="16.5" customHeight="1">
      <c r="A479" s="2"/>
      <c r="N479" s="2"/>
    </row>
    <row r="480" spans="1:14" ht="16.5" customHeight="1">
      <c r="A480" s="2"/>
      <c r="N480" s="2"/>
    </row>
    <row r="481" spans="1:14" ht="16.5" customHeight="1">
      <c r="A481" s="2"/>
      <c r="N481" s="2"/>
    </row>
    <row r="482" spans="1:14" ht="16.5" customHeight="1">
      <c r="A482" s="2"/>
      <c r="N482" s="2"/>
    </row>
    <row r="483" spans="1:14" ht="16.5" customHeight="1">
      <c r="A483" s="2"/>
      <c r="N483" s="2"/>
    </row>
    <row r="484" spans="1:14" ht="16.5" customHeight="1">
      <c r="A484" s="2"/>
      <c r="N484" s="2"/>
    </row>
    <row r="485" spans="1:14" ht="16.5" customHeight="1">
      <c r="A485" s="2"/>
      <c r="N485" s="2"/>
    </row>
    <row r="486" spans="1:14" ht="16.5" customHeight="1">
      <c r="A486" s="2"/>
      <c r="N486" s="2"/>
    </row>
    <row r="487" spans="1:14" ht="16.5" customHeight="1">
      <c r="A487" s="2"/>
      <c r="N487" s="2"/>
    </row>
    <row r="488" spans="1:14" ht="16.5" customHeight="1">
      <c r="A488" s="2"/>
      <c r="N488" s="2"/>
    </row>
    <row r="489" spans="1:14" ht="16.5" customHeight="1">
      <c r="A489" s="2"/>
      <c r="N489" s="2"/>
    </row>
    <row r="490" spans="1:14" ht="16.5" customHeight="1">
      <c r="A490" s="2"/>
      <c r="N490" s="2"/>
    </row>
    <row r="491" spans="1:14" ht="16.5" customHeight="1">
      <c r="A491" s="2"/>
      <c r="N491" s="2"/>
    </row>
    <row r="492" spans="1:14" ht="16.5" customHeight="1">
      <c r="A492" s="2"/>
      <c r="N492" s="2"/>
    </row>
    <row r="493" spans="1:14" ht="16.5" customHeight="1">
      <c r="A493" s="2"/>
      <c r="N493" s="2"/>
    </row>
    <row r="494" spans="1:14" ht="16.5" customHeight="1">
      <c r="A494" s="2"/>
      <c r="N494" s="2"/>
    </row>
    <row r="495" spans="1:14" ht="16.5" customHeight="1">
      <c r="A495" s="2"/>
      <c r="N495" s="2"/>
    </row>
    <row r="496" spans="1:14" ht="16.5" customHeight="1">
      <c r="A496" s="2"/>
      <c r="N496" s="2"/>
    </row>
    <row r="497" spans="1:14" ht="16.5" customHeight="1">
      <c r="A497" s="2"/>
      <c r="N497" s="2"/>
    </row>
    <row r="498" spans="1:14" ht="16.5" customHeight="1">
      <c r="A498" s="2"/>
      <c r="N498" s="2"/>
    </row>
    <row r="499" spans="1:14" ht="16.5" customHeight="1">
      <c r="A499" s="2"/>
      <c r="N499" s="2"/>
    </row>
    <row r="500" spans="1:14" ht="16.5" customHeight="1">
      <c r="A500" s="2"/>
      <c r="N500" s="2"/>
    </row>
    <row r="501" spans="1:14" ht="16.5" customHeight="1">
      <c r="A501" s="2"/>
      <c r="N501" s="2"/>
    </row>
    <row r="502" spans="1:14" ht="16.5" customHeight="1">
      <c r="A502" s="2"/>
      <c r="N502" s="2"/>
    </row>
    <row r="503" spans="1:14" ht="16.5" customHeight="1">
      <c r="A503" s="2"/>
      <c r="N503" s="2"/>
    </row>
    <row r="504" spans="1:14" ht="16.5" customHeight="1">
      <c r="A504" s="2"/>
      <c r="N504" s="2"/>
    </row>
    <row r="505" spans="1:14" ht="16.5" customHeight="1">
      <c r="A505" s="2"/>
      <c r="N505" s="2"/>
    </row>
    <row r="506" spans="1:14" ht="16.5" customHeight="1">
      <c r="A506" s="2"/>
      <c r="N506" s="2"/>
    </row>
    <row r="507" spans="1:14" ht="16.5" customHeight="1">
      <c r="A507" s="2"/>
      <c r="N507" s="2"/>
    </row>
    <row r="508" spans="1:14" ht="16.5" customHeight="1">
      <c r="A508" s="2"/>
      <c r="N508" s="2"/>
    </row>
    <row r="509" spans="1:14" ht="16.5" customHeight="1">
      <c r="A509" s="2"/>
      <c r="N509" s="2"/>
    </row>
    <row r="510" spans="1:14" ht="16.5" customHeight="1">
      <c r="A510" s="2"/>
      <c r="N510" s="2"/>
    </row>
    <row r="511" spans="1:14" ht="16.5" customHeight="1">
      <c r="A511" s="2"/>
      <c r="N511" s="2"/>
    </row>
    <row r="512" spans="1:14" ht="16.5" customHeight="1">
      <c r="A512" s="2"/>
      <c r="N512" s="2"/>
    </row>
    <row r="513" spans="1:14" ht="16.5" customHeight="1">
      <c r="A513" s="2"/>
      <c r="N513" s="2"/>
    </row>
    <row r="514" spans="1:14" ht="16.5" customHeight="1">
      <c r="A514" s="2"/>
      <c r="N514" s="2"/>
    </row>
    <row r="515" spans="1:14" ht="16.5" customHeight="1">
      <c r="A515" s="2"/>
      <c r="N515" s="2"/>
    </row>
    <row r="516" spans="1:14" ht="16.5" customHeight="1">
      <c r="A516" s="2"/>
      <c r="N516" s="2"/>
    </row>
    <row r="517" spans="1:14" ht="16.5" customHeight="1">
      <c r="A517" s="2"/>
      <c r="N517" s="2"/>
    </row>
    <row r="518" spans="1:14" ht="16.5" customHeight="1">
      <c r="A518" s="2"/>
      <c r="N518" s="2"/>
    </row>
    <row r="519" spans="1:14" ht="16.5" customHeight="1">
      <c r="A519" s="2"/>
      <c r="N519" s="2"/>
    </row>
    <row r="520" spans="1:14" ht="16.5" customHeight="1">
      <c r="A520" s="2"/>
      <c r="N520" s="2"/>
    </row>
    <row r="521" spans="1:14" ht="16.5" customHeight="1">
      <c r="A521" s="2"/>
      <c r="N521" s="2"/>
    </row>
    <row r="522" spans="1:14" ht="16.5" customHeight="1">
      <c r="A522" s="2"/>
      <c r="N522" s="2"/>
    </row>
    <row r="523" spans="1:14" ht="16.5" customHeight="1">
      <c r="A523" s="2"/>
      <c r="N523" s="2"/>
    </row>
    <row r="524" spans="1:14" ht="16.5" customHeight="1">
      <c r="A524" s="2"/>
      <c r="N524" s="2"/>
    </row>
    <row r="525" spans="1:14" ht="16.5" customHeight="1">
      <c r="A525" s="2"/>
      <c r="N525" s="2"/>
    </row>
    <row r="526" spans="1:14" ht="16.5" customHeight="1">
      <c r="A526" s="2"/>
      <c r="N526" s="2"/>
    </row>
    <row r="527" spans="1:14" ht="16.5" customHeight="1">
      <c r="A527" s="2"/>
      <c r="N527" s="2"/>
    </row>
    <row r="528" spans="1:14" ht="16.5" customHeight="1">
      <c r="A528" s="2"/>
      <c r="N528" s="2"/>
    </row>
    <row r="529" spans="1:14" ht="16.5" customHeight="1">
      <c r="A529" s="2"/>
      <c r="N529" s="2"/>
    </row>
    <row r="530" spans="1:14" ht="16.5" customHeight="1">
      <c r="A530" s="2"/>
      <c r="N530" s="2"/>
    </row>
    <row r="531" spans="1:14" ht="16.5" customHeight="1">
      <c r="A531" s="2"/>
      <c r="N531" s="2"/>
    </row>
    <row r="532" spans="1:14" ht="16.5" customHeight="1">
      <c r="A532" s="2"/>
      <c r="N532" s="2"/>
    </row>
    <row r="533" spans="1:14" ht="16.5" customHeight="1">
      <c r="A533" s="2"/>
      <c r="N533" s="2"/>
    </row>
    <row r="534" spans="1:14" ht="16.5" customHeight="1">
      <c r="A534" s="2"/>
      <c r="N534" s="2"/>
    </row>
    <row r="535" spans="1:14" ht="16.5" customHeight="1">
      <c r="A535" s="2"/>
      <c r="N535" s="2"/>
    </row>
    <row r="536" spans="1:14" ht="16.5" customHeight="1">
      <c r="A536" s="2"/>
      <c r="N536" s="2"/>
    </row>
    <row r="537" spans="1:14" ht="16.5" customHeight="1">
      <c r="A537" s="2"/>
      <c r="N537" s="2"/>
    </row>
    <row r="538" spans="1:14" ht="16.5" customHeight="1">
      <c r="A538" s="2"/>
      <c r="N538" s="2"/>
    </row>
    <row r="539" spans="1:14" ht="16.5" customHeight="1">
      <c r="A539" s="2"/>
      <c r="N539" s="2"/>
    </row>
    <row r="540" spans="1:14" ht="16.5" customHeight="1">
      <c r="A540" s="2"/>
      <c r="N540" s="2"/>
    </row>
    <row r="541" spans="1:14" ht="16.5" customHeight="1">
      <c r="A541" s="2"/>
      <c r="N541" s="2"/>
    </row>
    <row r="542" spans="1:14" ht="16.5" customHeight="1">
      <c r="A542" s="2"/>
      <c r="N542" s="2"/>
    </row>
    <row r="543" spans="1:14" ht="16.5" customHeight="1">
      <c r="A543" s="2"/>
      <c r="N543" s="2"/>
    </row>
    <row r="544" spans="1:14" ht="16.5" customHeight="1">
      <c r="A544" s="2"/>
      <c r="N544" s="2"/>
    </row>
    <row r="545" spans="1:14" ht="16.5" customHeight="1">
      <c r="A545" s="2"/>
      <c r="N545" s="2"/>
    </row>
    <row r="546" spans="1:14" ht="16.5" customHeight="1">
      <c r="A546" s="2"/>
      <c r="N546" s="2"/>
    </row>
    <row r="547" spans="1:14" ht="16.5" customHeight="1">
      <c r="A547" s="2"/>
      <c r="N547" s="2"/>
    </row>
    <row r="548" spans="1:14" ht="16.5" customHeight="1">
      <c r="A548" s="2"/>
      <c r="N548" s="2"/>
    </row>
    <row r="549" spans="1:14" ht="16.5" customHeight="1">
      <c r="A549" s="2"/>
      <c r="N549" s="2"/>
    </row>
    <row r="550" spans="1:14" ht="16.5" customHeight="1">
      <c r="A550" s="2"/>
      <c r="N550" s="2"/>
    </row>
    <row r="551" spans="1:14" ht="16.5" customHeight="1">
      <c r="A551" s="2"/>
      <c r="N551" s="2"/>
    </row>
    <row r="552" spans="1:14" ht="16.5" customHeight="1">
      <c r="A552" s="2"/>
      <c r="N552" s="2"/>
    </row>
    <row r="553" spans="1:14" ht="16.5" customHeight="1">
      <c r="A553" s="2"/>
      <c r="N553" s="2"/>
    </row>
    <row r="554" spans="1:14" ht="16.5" customHeight="1">
      <c r="A554" s="2"/>
      <c r="N554" s="2"/>
    </row>
    <row r="555" spans="1:14" ht="16.5" customHeight="1">
      <c r="A555" s="2"/>
      <c r="N555" s="2"/>
    </row>
    <row r="556" spans="1:14" ht="16.5" customHeight="1">
      <c r="A556" s="2"/>
      <c r="N556" s="2"/>
    </row>
    <row r="557" spans="1:14" ht="16.5" customHeight="1">
      <c r="A557" s="2"/>
      <c r="N557" s="2"/>
    </row>
    <row r="558" spans="1:14" ht="16.5" customHeight="1">
      <c r="A558" s="2"/>
      <c r="N558" s="2"/>
    </row>
    <row r="559" spans="1:14" ht="16.5" customHeight="1">
      <c r="A559" s="2"/>
      <c r="N559" s="2"/>
    </row>
    <row r="560" spans="1:14" ht="16.5" customHeight="1">
      <c r="A560" s="2"/>
      <c r="N560" s="2"/>
    </row>
    <row r="561" spans="1:14" ht="16.5" customHeight="1">
      <c r="A561" s="2"/>
      <c r="N561" s="2"/>
    </row>
    <row r="562" spans="1:14" ht="16.5" customHeight="1">
      <c r="A562" s="2"/>
      <c r="N562" s="2"/>
    </row>
    <row r="563" spans="1:14" ht="16.5" customHeight="1">
      <c r="A563" s="2"/>
      <c r="N563" s="2"/>
    </row>
    <row r="564" spans="1:14" ht="16.5" customHeight="1">
      <c r="A564" s="2"/>
      <c r="N564" s="2"/>
    </row>
    <row r="565" spans="1:14" ht="16.5" customHeight="1">
      <c r="A565" s="2"/>
      <c r="N565" s="2"/>
    </row>
    <row r="566" spans="1:14" ht="16.5" customHeight="1">
      <c r="A566" s="2"/>
      <c r="N566" s="2"/>
    </row>
    <row r="567" spans="1:14" ht="16.5" customHeight="1">
      <c r="A567" s="2"/>
      <c r="N567" s="2"/>
    </row>
    <row r="568" spans="1:14" ht="16.5" customHeight="1">
      <c r="A568" s="2"/>
      <c r="N568" s="2"/>
    </row>
    <row r="569" spans="1:14" ht="16.5" customHeight="1">
      <c r="A569" s="2"/>
      <c r="N569" s="2"/>
    </row>
    <row r="570" spans="1:14" ht="16.5" customHeight="1">
      <c r="A570" s="2"/>
      <c r="N570" s="2"/>
    </row>
    <row r="571" spans="1:14" ht="16.5" customHeight="1">
      <c r="A571" s="2"/>
      <c r="N571" s="2"/>
    </row>
    <row r="572" spans="1:14" ht="16.5" customHeight="1">
      <c r="A572" s="2"/>
      <c r="N572" s="2"/>
    </row>
    <row r="573" spans="1:14" ht="16.5" customHeight="1">
      <c r="A573" s="2"/>
      <c r="N573" s="2"/>
    </row>
    <row r="574" spans="1:14" ht="16.5" customHeight="1">
      <c r="A574" s="2"/>
      <c r="N574" s="2"/>
    </row>
    <row r="575" spans="1:14" ht="16.5" customHeight="1">
      <c r="A575" s="2"/>
      <c r="N575" s="2"/>
    </row>
    <row r="576" spans="1:14" ht="16.5" customHeight="1">
      <c r="A576" s="2"/>
      <c r="N576" s="2"/>
    </row>
    <row r="577" spans="1:14" ht="16.5" customHeight="1">
      <c r="A577" s="2"/>
      <c r="N577" s="2"/>
    </row>
    <row r="578" spans="1:14" ht="16.5" customHeight="1">
      <c r="A578" s="2"/>
      <c r="N578" s="2"/>
    </row>
    <row r="579" spans="1:14" ht="16.5" customHeight="1">
      <c r="A579" s="2"/>
      <c r="N579" s="2"/>
    </row>
    <row r="580" spans="1:14" ht="16.5" customHeight="1">
      <c r="A580" s="2"/>
      <c r="N580" s="2"/>
    </row>
    <row r="581" spans="1:14" ht="16.5" customHeight="1">
      <c r="A581" s="2"/>
      <c r="N581" s="2"/>
    </row>
    <row r="582" spans="1:14" ht="16.5" customHeight="1">
      <c r="A582" s="2"/>
      <c r="N582" s="2"/>
    </row>
    <row r="583" spans="1:14" ht="16.5" customHeight="1">
      <c r="A583" s="2"/>
      <c r="N583" s="2"/>
    </row>
    <row r="584" spans="1:14" ht="16.5" customHeight="1">
      <c r="A584" s="2"/>
      <c r="N584" s="2"/>
    </row>
    <row r="585" spans="1:14" ht="16.5" customHeight="1">
      <c r="A585" s="2"/>
      <c r="N585" s="2"/>
    </row>
    <row r="586" spans="1:14" ht="16.5" customHeight="1">
      <c r="A586" s="2"/>
      <c r="N586" s="2"/>
    </row>
    <row r="587" spans="1:14" ht="16.5" customHeight="1">
      <c r="A587" s="2"/>
      <c r="N587" s="2"/>
    </row>
    <row r="588" spans="1:14" ht="16.5" customHeight="1">
      <c r="A588" s="2"/>
      <c r="N588" s="2"/>
    </row>
    <row r="589" spans="1:14" ht="16.5" customHeight="1">
      <c r="A589" s="2"/>
      <c r="N589" s="2"/>
    </row>
    <row r="590" spans="1:14" ht="16.5" customHeight="1">
      <c r="A590" s="2"/>
      <c r="N590" s="2"/>
    </row>
    <row r="591" spans="1:14" ht="16.5" customHeight="1">
      <c r="A591" s="2"/>
      <c r="N591" s="2"/>
    </row>
    <row r="592" spans="1:14" ht="16.5" customHeight="1">
      <c r="A592" s="2"/>
      <c r="N592" s="2"/>
    </row>
    <row r="593" spans="1:14" ht="16.5" customHeight="1">
      <c r="A593" s="2"/>
      <c r="N593" s="2"/>
    </row>
    <row r="594" spans="1:14" ht="16.5" customHeight="1">
      <c r="A594" s="2"/>
      <c r="N594" s="2"/>
    </row>
    <row r="595" spans="1:14" ht="16.5" customHeight="1">
      <c r="A595" s="2"/>
      <c r="N595" s="2"/>
    </row>
    <row r="596" spans="1:14" ht="16.5" customHeight="1">
      <c r="A596" s="2"/>
      <c r="N596" s="2"/>
    </row>
    <row r="597" spans="1:14" ht="16.5" customHeight="1">
      <c r="A597" s="2"/>
      <c r="N597" s="2"/>
    </row>
    <row r="598" spans="1:14" ht="16.5" customHeight="1">
      <c r="A598" s="2"/>
      <c r="N598" s="2"/>
    </row>
    <row r="599" spans="1:14" ht="16.5" customHeight="1">
      <c r="A599" s="2"/>
      <c r="N599" s="2"/>
    </row>
    <row r="600" spans="1:14" ht="16.5" customHeight="1">
      <c r="A600" s="2"/>
      <c r="N600" s="2"/>
    </row>
    <row r="601" spans="1:14" ht="16.5" customHeight="1">
      <c r="A601" s="2"/>
      <c r="N601" s="2"/>
    </row>
    <row r="602" spans="1:14" ht="16.5" customHeight="1">
      <c r="A602" s="2"/>
      <c r="N602" s="2"/>
    </row>
    <row r="603" spans="1:14" ht="16.5" customHeight="1">
      <c r="A603" s="2"/>
      <c r="N603" s="2"/>
    </row>
    <row r="604" spans="1:14" ht="16.5" customHeight="1">
      <c r="A604" s="2"/>
      <c r="N604" s="2"/>
    </row>
    <row r="605" spans="1:14" ht="16.5" customHeight="1">
      <c r="A605" s="2"/>
      <c r="N605" s="2"/>
    </row>
    <row r="606" spans="1:14" ht="16.5" customHeight="1">
      <c r="A606" s="2"/>
      <c r="N606" s="2"/>
    </row>
    <row r="607" spans="1:14" ht="16.5" customHeight="1">
      <c r="A607" s="2"/>
      <c r="N607" s="2"/>
    </row>
    <row r="608" spans="1:14" ht="16.5" customHeight="1">
      <c r="A608" s="2"/>
      <c r="N608" s="2"/>
    </row>
    <row r="609" spans="1:14" ht="16.5" customHeight="1">
      <c r="A609" s="2"/>
      <c r="N609" s="2"/>
    </row>
    <row r="610" spans="1:14" ht="16.5" customHeight="1">
      <c r="A610" s="2"/>
      <c r="N610" s="2"/>
    </row>
    <row r="611" spans="1:14" ht="16.5" customHeight="1">
      <c r="A611" s="2"/>
      <c r="N611" s="2"/>
    </row>
    <row r="612" spans="1:14" ht="16.5" customHeight="1">
      <c r="A612" s="2"/>
      <c r="N612" s="2"/>
    </row>
    <row r="613" spans="1:14" ht="16.5" customHeight="1">
      <c r="A613" s="2"/>
      <c r="N613" s="2"/>
    </row>
    <row r="614" spans="1:14" ht="16.5" customHeight="1">
      <c r="A614" s="2"/>
      <c r="N614" s="2"/>
    </row>
    <row r="615" spans="1:14" ht="16.5" customHeight="1">
      <c r="A615" s="2"/>
      <c r="N615" s="2"/>
    </row>
    <row r="616" spans="1:14" ht="16.5" customHeight="1">
      <c r="A616" s="2"/>
      <c r="N616" s="2"/>
    </row>
    <row r="617" spans="1:14" ht="16.5" customHeight="1">
      <c r="A617" s="2"/>
      <c r="N617" s="2"/>
    </row>
    <row r="618" spans="1:14" ht="16.5" customHeight="1">
      <c r="A618" s="2"/>
      <c r="N618" s="2"/>
    </row>
    <row r="619" spans="1:14" ht="16.5" customHeight="1">
      <c r="A619" s="2"/>
      <c r="N619" s="2"/>
    </row>
    <row r="620" spans="1:14" ht="16.5" customHeight="1">
      <c r="A620" s="2"/>
      <c r="N620" s="2"/>
    </row>
    <row r="621" spans="1:14" ht="16.5" customHeight="1">
      <c r="A621" s="2"/>
      <c r="N621" s="2"/>
    </row>
    <row r="622" spans="1:14" ht="16.5" customHeight="1">
      <c r="A622" s="2"/>
      <c r="N622" s="2"/>
    </row>
    <row r="623" spans="1:14" ht="16.5" customHeight="1">
      <c r="A623" s="2"/>
      <c r="N623" s="2"/>
    </row>
    <row r="624" spans="1:14" ht="16.5" customHeight="1">
      <c r="A624" s="2"/>
      <c r="N624" s="2"/>
    </row>
    <row r="625" spans="1:14" ht="16.5" customHeight="1">
      <c r="A625" s="2"/>
      <c r="N625" s="2"/>
    </row>
    <row r="626" spans="1:14" ht="16.5" customHeight="1">
      <c r="A626" s="2"/>
      <c r="N626" s="2"/>
    </row>
    <row r="627" spans="1:14" ht="16.5" customHeight="1">
      <c r="A627" s="2"/>
      <c r="N627" s="2"/>
    </row>
    <row r="628" spans="1:14" ht="16.5" customHeight="1">
      <c r="A628" s="2"/>
      <c r="N628" s="2"/>
    </row>
    <row r="629" spans="1:14" ht="16.5" customHeight="1">
      <c r="A629" s="2"/>
      <c r="N629" s="2"/>
    </row>
    <row r="630" spans="1:14" ht="16.5" customHeight="1">
      <c r="A630" s="2"/>
      <c r="N630" s="2"/>
    </row>
    <row r="631" spans="1:14" ht="16.5" customHeight="1">
      <c r="A631" s="2"/>
      <c r="N631" s="2"/>
    </row>
    <row r="632" spans="1:14" ht="16.5" customHeight="1">
      <c r="A632" s="2"/>
      <c r="N632" s="2"/>
    </row>
    <row r="633" spans="1:14" ht="16.5" customHeight="1">
      <c r="A633" s="2"/>
      <c r="N633" s="2"/>
    </row>
    <row r="634" spans="1:14" ht="16.5" customHeight="1">
      <c r="A634" s="2"/>
      <c r="N634" s="2"/>
    </row>
    <row r="635" spans="1:14" ht="16.5" customHeight="1">
      <c r="A635" s="2"/>
      <c r="N635" s="2"/>
    </row>
    <row r="636" spans="1:14" ht="16.5" customHeight="1">
      <c r="A636" s="2"/>
      <c r="N636" s="2"/>
    </row>
    <row r="637" spans="1:14" ht="16.5" customHeight="1">
      <c r="A637" s="2"/>
      <c r="N637" s="2"/>
    </row>
    <row r="638" spans="1:14" ht="16.5" customHeight="1">
      <c r="A638" s="2"/>
      <c r="N638" s="2"/>
    </row>
    <row r="639" spans="1:14" ht="16.5" customHeight="1">
      <c r="A639" s="2"/>
      <c r="N639" s="2"/>
    </row>
    <row r="640" spans="1:14" ht="16.5" customHeight="1">
      <c r="A640" s="2"/>
      <c r="N640" s="2"/>
    </row>
    <row r="641" spans="1:14" ht="16.5" customHeight="1">
      <c r="A641" s="2"/>
      <c r="N641" s="2"/>
    </row>
    <row r="642" spans="1:14" ht="16.5" customHeight="1">
      <c r="A642" s="2"/>
      <c r="N642" s="2"/>
    </row>
    <row r="643" spans="1:14" ht="16.5" customHeight="1">
      <c r="A643" s="2"/>
      <c r="N643" s="2"/>
    </row>
    <row r="644" spans="1:14" ht="16.5" customHeight="1">
      <c r="A644" s="2"/>
      <c r="N644" s="2"/>
    </row>
    <row r="645" spans="1:14" ht="16.5" customHeight="1">
      <c r="A645" s="2"/>
      <c r="N645" s="2"/>
    </row>
    <row r="646" spans="1:14" ht="16.5" customHeight="1">
      <c r="A646" s="2"/>
      <c r="N646" s="2"/>
    </row>
    <row r="647" spans="1:14" ht="16.5" customHeight="1">
      <c r="A647" s="2"/>
      <c r="N647" s="2"/>
    </row>
    <row r="648" spans="1:14" ht="16.5" customHeight="1">
      <c r="A648" s="2"/>
      <c r="N648" s="2"/>
    </row>
    <row r="649" spans="1:14" ht="16.5" customHeight="1">
      <c r="A649" s="2"/>
      <c r="N649" s="2"/>
    </row>
    <row r="650" spans="1:14" ht="16.5" customHeight="1">
      <c r="A650" s="2"/>
      <c r="N650" s="2"/>
    </row>
    <row r="651" spans="1:14" ht="16.5" customHeight="1">
      <c r="A651" s="2"/>
      <c r="N651" s="2"/>
    </row>
    <row r="652" spans="1:14" ht="16.5" customHeight="1">
      <c r="A652" s="2"/>
      <c r="N652" s="2"/>
    </row>
    <row r="653" spans="1:14" ht="16.5" customHeight="1">
      <c r="A653" s="2"/>
      <c r="N653" s="2"/>
    </row>
    <row r="654" spans="1:14" ht="16.5" customHeight="1">
      <c r="A654" s="2"/>
      <c r="N654" s="2"/>
    </row>
    <row r="655" spans="1:14" ht="16.5" customHeight="1">
      <c r="A655" s="2"/>
      <c r="N655" s="2"/>
    </row>
    <row r="656" spans="1:14" ht="16.5" customHeight="1">
      <c r="A656" s="2"/>
      <c r="N656" s="2"/>
    </row>
    <row r="657" spans="1:14" ht="16.5" customHeight="1">
      <c r="A657" s="2"/>
      <c r="N657" s="2"/>
    </row>
    <row r="658" spans="1:14" ht="16.5" customHeight="1">
      <c r="A658" s="2"/>
      <c r="N658" s="2"/>
    </row>
    <row r="659" spans="1:14" ht="16.5" customHeight="1">
      <c r="A659" s="2"/>
      <c r="N659" s="2"/>
    </row>
    <row r="660" spans="1:14" ht="16.5" customHeight="1">
      <c r="A660" s="2"/>
      <c r="N660" s="2"/>
    </row>
    <row r="661" spans="1:14" ht="16.5" customHeight="1">
      <c r="A661" s="2"/>
      <c r="N661" s="2"/>
    </row>
    <row r="662" spans="1:14" ht="16.5" customHeight="1">
      <c r="A662" s="2"/>
      <c r="N662" s="2"/>
    </row>
    <row r="663" spans="1:14" ht="16.5" customHeight="1">
      <c r="A663" s="2"/>
      <c r="N663" s="2"/>
    </row>
    <row r="664" spans="1:14" ht="16.5" customHeight="1">
      <c r="A664" s="2"/>
      <c r="N664" s="2"/>
    </row>
    <row r="665" spans="1:14" ht="16.5" customHeight="1">
      <c r="A665" s="2"/>
      <c r="N665" s="2"/>
    </row>
    <row r="666" spans="1:14" ht="16.5" customHeight="1">
      <c r="A666" s="2"/>
      <c r="N666" s="2"/>
    </row>
    <row r="667" spans="1:14" ht="16.5" customHeight="1">
      <c r="A667" s="2"/>
      <c r="N667" s="2"/>
    </row>
    <row r="668" spans="1:14" ht="16.5" customHeight="1">
      <c r="A668" s="2"/>
      <c r="N668" s="2"/>
    </row>
    <row r="669" spans="1:14" ht="16.5" customHeight="1">
      <c r="A669" s="2"/>
      <c r="N669" s="2"/>
    </row>
    <row r="670" spans="1:14" ht="16.5" customHeight="1">
      <c r="A670" s="2"/>
      <c r="N670" s="2"/>
    </row>
    <row r="671" spans="1:14" ht="16.5" customHeight="1">
      <c r="A671" s="2"/>
      <c r="N671" s="2"/>
    </row>
    <row r="672" spans="1:14" ht="16.5" customHeight="1">
      <c r="A672" s="2"/>
      <c r="N672" s="2"/>
    </row>
    <row r="673" spans="1:14" ht="16.5" customHeight="1">
      <c r="A673" s="2"/>
      <c r="N673" s="2"/>
    </row>
    <row r="674" spans="1:14" ht="16.5" customHeight="1">
      <c r="A674" s="2"/>
      <c r="N674" s="2"/>
    </row>
    <row r="675" spans="1:14" ht="16.5" customHeight="1">
      <c r="A675" s="2"/>
      <c r="N675" s="2"/>
    </row>
    <row r="676" spans="1:14" ht="16.5" customHeight="1">
      <c r="A676" s="2"/>
      <c r="N676" s="2"/>
    </row>
    <row r="677" spans="1:14" ht="16.5" customHeight="1">
      <c r="A677" s="2"/>
      <c r="N677" s="2"/>
    </row>
    <row r="678" spans="1:14" ht="16.5" customHeight="1">
      <c r="A678" s="2"/>
      <c r="N678" s="2"/>
    </row>
    <row r="679" spans="1:14" ht="16.5" customHeight="1">
      <c r="A679" s="2"/>
      <c r="N679" s="2"/>
    </row>
    <row r="680" spans="1:14" ht="16.5" customHeight="1">
      <c r="A680" s="2"/>
      <c r="N680" s="2"/>
    </row>
    <row r="681" spans="1:14" ht="16.5" customHeight="1">
      <c r="A681" s="2"/>
      <c r="N681" s="2"/>
    </row>
    <row r="682" spans="1:14" ht="16.5" customHeight="1">
      <c r="A682" s="2"/>
      <c r="N682" s="2"/>
    </row>
    <row r="683" spans="1:14" ht="16.5" customHeight="1">
      <c r="A683" s="2"/>
      <c r="N683" s="2"/>
    </row>
    <row r="684" spans="1:14" ht="16.5" customHeight="1">
      <c r="A684" s="2"/>
      <c r="N684" s="2"/>
    </row>
    <row r="685" spans="1:14" ht="16.5" customHeight="1">
      <c r="A685" s="2"/>
      <c r="N685" s="2"/>
    </row>
    <row r="686" spans="1:14" ht="16.5" customHeight="1">
      <c r="A686" s="2"/>
      <c r="N686" s="2"/>
    </row>
    <row r="687" spans="1:14" ht="16.5" customHeight="1">
      <c r="A687" s="2"/>
      <c r="N687" s="2"/>
    </row>
    <row r="688" spans="1:14" ht="16.5" customHeight="1">
      <c r="A688" s="2"/>
      <c r="N688" s="2"/>
    </row>
    <row r="689" spans="1:14" ht="16.5" customHeight="1">
      <c r="A689" s="2"/>
      <c r="N689" s="2"/>
    </row>
    <row r="690" spans="1:14" ht="16.5" customHeight="1">
      <c r="A690" s="2"/>
      <c r="N690" s="2"/>
    </row>
    <row r="691" spans="1:14" ht="16.5" customHeight="1">
      <c r="A691" s="2"/>
      <c r="N691" s="2"/>
    </row>
    <row r="692" spans="1:14" ht="16.5" customHeight="1">
      <c r="A692" s="2"/>
      <c r="N692" s="2"/>
    </row>
    <row r="693" spans="1:14" ht="16.5" customHeight="1">
      <c r="A693" s="2"/>
      <c r="N693" s="2"/>
    </row>
    <row r="694" spans="1:14" ht="16.5" customHeight="1">
      <c r="A694" s="2"/>
      <c r="N694" s="2"/>
    </row>
    <row r="695" spans="1:14" ht="16.5" customHeight="1">
      <c r="A695" s="2"/>
      <c r="N695" s="2"/>
    </row>
    <row r="696" spans="1:14" ht="16.5" customHeight="1">
      <c r="A696" s="2"/>
      <c r="N696" s="2"/>
    </row>
    <row r="697" spans="1:14" ht="16.5" customHeight="1">
      <c r="A697" s="2"/>
      <c r="N697" s="2"/>
    </row>
    <row r="698" spans="1:14" ht="16.5" customHeight="1">
      <c r="A698" s="2"/>
      <c r="N698" s="2"/>
    </row>
    <row r="699" spans="1:14" ht="16.5" customHeight="1">
      <c r="A699" s="2"/>
      <c r="N699" s="2"/>
    </row>
    <row r="700" spans="1:14" ht="16.5" customHeight="1">
      <c r="A700" s="2"/>
      <c r="N700" s="2"/>
    </row>
    <row r="701" spans="1:14" ht="16.5" customHeight="1">
      <c r="A701" s="2"/>
      <c r="N701" s="2"/>
    </row>
    <row r="702" spans="1:14" ht="16.5" customHeight="1">
      <c r="A702" s="2"/>
      <c r="N702" s="2"/>
    </row>
    <row r="703" spans="1:14" ht="16.5" customHeight="1">
      <c r="A703" s="2"/>
      <c r="N703" s="2"/>
    </row>
    <row r="704" spans="1:14" ht="16.5" customHeight="1">
      <c r="A704" s="2"/>
      <c r="N704" s="2"/>
    </row>
    <row r="705" spans="1:14" ht="16.5" customHeight="1">
      <c r="A705" s="2"/>
      <c r="N705" s="2"/>
    </row>
    <row r="706" spans="1:14" ht="16.5" customHeight="1">
      <c r="A706" s="2"/>
      <c r="N706" s="2"/>
    </row>
    <row r="707" spans="1:14" ht="16.5" customHeight="1">
      <c r="A707" s="2"/>
      <c r="N707" s="2"/>
    </row>
    <row r="708" spans="1:14" ht="16.5" customHeight="1">
      <c r="A708" s="2"/>
      <c r="N708" s="2"/>
    </row>
    <row r="709" spans="1:14" ht="16.5" customHeight="1">
      <c r="A709" s="2"/>
      <c r="N709" s="2"/>
    </row>
    <row r="710" spans="1:14" ht="16.5" customHeight="1">
      <c r="A710" s="2"/>
      <c r="N710" s="2"/>
    </row>
    <row r="711" spans="1:14" ht="16.5" customHeight="1">
      <c r="A711" s="2"/>
      <c r="N711" s="2"/>
    </row>
    <row r="712" spans="1:14" ht="16.5" customHeight="1">
      <c r="A712" s="2"/>
      <c r="N712" s="2"/>
    </row>
    <row r="713" spans="1:14" ht="16.5" customHeight="1">
      <c r="A713" s="2"/>
      <c r="N713" s="2"/>
    </row>
    <row r="714" spans="1:14" ht="16.5" customHeight="1">
      <c r="A714" s="2"/>
      <c r="N714" s="2"/>
    </row>
    <row r="715" spans="1:14" ht="16.5" customHeight="1">
      <c r="A715" s="2"/>
      <c r="N715" s="2"/>
    </row>
    <row r="716" spans="1:14" ht="16.5" customHeight="1">
      <c r="A716" s="2"/>
      <c r="N716" s="2"/>
    </row>
    <row r="717" spans="1:14" ht="16.5" customHeight="1">
      <c r="A717" s="2"/>
      <c r="N717" s="2"/>
    </row>
    <row r="718" spans="1:14" ht="16.5" customHeight="1">
      <c r="A718" s="2"/>
      <c r="N718" s="2"/>
    </row>
    <row r="719" spans="1:14" ht="16.5" customHeight="1">
      <c r="A719" s="2"/>
      <c r="N719" s="2"/>
    </row>
    <row r="720" spans="1:14" ht="16.5" customHeight="1">
      <c r="A720" s="2"/>
      <c r="N720" s="2"/>
    </row>
    <row r="721" spans="1:14" ht="16.5" customHeight="1">
      <c r="A721" s="2"/>
      <c r="N721" s="2"/>
    </row>
    <row r="722" spans="1:14" ht="16.5" customHeight="1">
      <c r="A722" s="2"/>
      <c r="N722" s="2"/>
    </row>
    <row r="723" spans="1:14" ht="16.5" customHeight="1">
      <c r="A723" s="2"/>
      <c r="N723" s="2"/>
    </row>
    <row r="724" spans="1:14" ht="16.5" customHeight="1">
      <c r="A724" s="2"/>
      <c r="N724" s="2"/>
    </row>
    <row r="725" spans="1:14" ht="16.5" customHeight="1">
      <c r="A725" s="2"/>
      <c r="N725" s="2"/>
    </row>
    <row r="726" spans="1:14" ht="16.5" customHeight="1">
      <c r="A726" s="2"/>
      <c r="N726" s="2"/>
    </row>
    <row r="727" spans="1:14" ht="16.5" customHeight="1">
      <c r="A727" s="2"/>
      <c r="N727" s="2"/>
    </row>
    <row r="728" spans="1:14" ht="16.5" customHeight="1">
      <c r="A728" s="2"/>
      <c r="N728" s="2"/>
    </row>
    <row r="729" spans="1:14" ht="16.5" customHeight="1">
      <c r="A729" s="2"/>
      <c r="N729" s="2"/>
    </row>
    <row r="730" spans="1:14" ht="16.5" customHeight="1">
      <c r="A730" s="2"/>
      <c r="N730" s="2"/>
    </row>
    <row r="731" spans="1:14" ht="16.5" customHeight="1">
      <c r="A731" s="2"/>
      <c r="N731" s="2"/>
    </row>
    <row r="732" spans="1:14" ht="16.5" customHeight="1">
      <c r="A732" s="2"/>
      <c r="N732" s="2"/>
    </row>
    <row r="733" spans="1:14" ht="16.5" customHeight="1">
      <c r="A733" s="2"/>
      <c r="N733" s="2"/>
    </row>
    <row r="734" spans="1:14" ht="16.5" customHeight="1">
      <c r="A734" s="2"/>
      <c r="N734" s="2"/>
    </row>
    <row r="735" spans="1:14" ht="16.5" customHeight="1">
      <c r="A735" s="2"/>
      <c r="N735" s="2"/>
    </row>
    <row r="736" spans="1:14" ht="16.5" customHeight="1">
      <c r="A736" s="2"/>
      <c r="N736" s="2"/>
    </row>
    <row r="737" spans="1:14" ht="16.5" customHeight="1">
      <c r="A737" s="2"/>
      <c r="N737" s="2"/>
    </row>
    <row r="738" spans="1:14" ht="16.5" customHeight="1">
      <c r="A738" s="2"/>
      <c r="N738" s="2"/>
    </row>
    <row r="739" spans="1:14" ht="16.5" customHeight="1">
      <c r="A739" s="2"/>
      <c r="N739" s="2"/>
    </row>
    <row r="740" spans="1:14" ht="16.5" customHeight="1">
      <c r="A740" s="2"/>
      <c r="N740" s="2"/>
    </row>
    <row r="741" spans="1:14" ht="16.5" customHeight="1">
      <c r="A741" s="2"/>
      <c r="N741" s="2"/>
    </row>
    <row r="742" spans="1:14" ht="16.5" customHeight="1">
      <c r="A742" s="2"/>
      <c r="N742" s="2"/>
    </row>
    <row r="743" spans="1:14" ht="16.5" customHeight="1">
      <c r="A743" s="2"/>
      <c r="N743" s="2"/>
    </row>
    <row r="744" spans="1:14" ht="16.5" customHeight="1">
      <c r="A744" s="2"/>
      <c r="N744" s="2"/>
    </row>
    <row r="745" spans="1:14" ht="16.5" customHeight="1">
      <c r="A745" s="2"/>
      <c r="N745" s="2"/>
    </row>
    <row r="746" spans="1:14" ht="16.5" customHeight="1">
      <c r="A746" s="2"/>
      <c r="N746" s="2"/>
    </row>
    <row r="747" spans="1:14" ht="16.5" customHeight="1">
      <c r="A747" s="2"/>
      <c r="N747" s="2"/>
    </row>
    <row r="748" spans="1:14" ht="16.5" customHeight="1">
      <c r="A748" s="2"/>
      <c r="N748" s="2"/>
    </row>
    <row r="749" spans="1:14" ht="16.5" customHeight="1">
      <c r="A749" s="2"/>
      <c r="N749" s="2"/>
    </row>
    <row r="750" spans="1:14" ht="16.5" customHeight="1">
      <c r="A750" s="2"/>
      <c r="N750" s="2"/>
    </row>
    <row r="751" spans="1:14" ht="16.5" customHeight="1">
      <c r="A751" s="2"/>
      <c r="N751" s="2"/>
    </row>
    <row r="752" spans="1:14" ht="16.5" customHeight="1">
      <c r="A752" s="2"/>
      <c r="N752" s="2"/>
    </row>
    <row r="753" spans="1:14" ht="16.5" customHeight="1">
      <c r="A753" s="2"/>
      <c r="N753" s="2"/>
    </row>
    <row r="754" spans="1:14" ht="16.5" customHeight="1">
      <c r="A754" s="2"/>
      <c r="N754" s="2"/>
    </row>
    <row r="755" spans="1:14" ht="16.5" customHeight="1">
      <c r="A755" s="2"/>
      <c r="N755" s="2"/>
    </row>
    <row r="756" spans="1:14" ht="16.5" customHeight="1">
      <c r="A756" s="2"/>
      <c r="N756" s="2"/>
    </row>
    <row r="757" spans="1:14" ht="16.5" customHeight="1">
      <c r="A757" s="2"/>
      <c r="N757" s="2"/>
    </row>
    <row r="758" spans="1:14" ht="16.5" customHeight="1">
      <c r="A758" s="2"/>
      <c r="N758" s="2"/>
    </row>
    <row r="759" spans="1:14" ht="16.5" customHeight="1">
      <c r="A759" s="2"/>
      <c r="N759" s="2"/>
    </row>
    <row r="760" spans="1:14" ht="16.5" customHeight="1">
      <c r="A760" s="2"/>
      <c r="N760" s="2"/>
    </row>
    <row r="761" spans="1:14" ht="16.5" customHeight="1">
      <c r="A761" s="2"/>
      <c r="N761" s="2"/>
    </row>
    <row r="762" spans="1:14" ht="16.5" customHeight="1">
      <c r="A762" s="2"/>
      <c r="N762" s="2"/>
    </row>
    <row r="763" spans="1:14" ht="16.5" customHeight="1">
      <c r="A763" s="2"/>
      <c r="N763" s="2"/>
    </row>
    <row r="764" spans="1:14" ht="16.5" customHeight="1">
      <c r="A764" s="2"/>
      <c r="N764" s="2"/>
    </row>
    <row r="765" spans="1:14" ht="16.5" customHeight="1">
      <c r="A765" s="2"/>
      <c r="N765" s="2"/>
    </row>
    <row r="766" spans="1:14" ht="16.5" customHeight="1">
      <c r="A766" s="2"/>
      <c r="N766" s="2"/>
    </row>
    <row r="767" spans="1:14" ht="16.5" customHeight="1">
      <c r="A767" s="2"/>
      <c r="N767" s="2"/>
    </row>
    <row r="768" spans="1:14" ht="16.5" customHeight="1">
      <c r="A768" s="2"/>
      <c r="N768" s="2"/>
    </row>
    <row r="769" spans="1:14" ht="16.5" customHeight="1">
      <c r="A769" s="2"/>
      <c r="N769" s="2"/>
    </row>
    <row r="770" spans="1:14" ht="16.5" customHeight="1">
      <c r="A770" s="2"/>
      <c r="N770" s="2"/>
    </row>
    <row r="771" spans="1:14" ht="16.5" customHeight="1">
      <c r="A771" s="2"/>
      <c r="N771" s="2"/>
    </row>
    <row r="772" spans="1:14" ht="16.5" customHeight="1">
      <c r="A772" s="2"/>
      <c r="N772" s="2"/>
    </row>
    <row r="773" spans="1:14" ht="16.5" customHeight="1">
      <c r="A773" s="2"/>
      <c r="N773" s="2"/>
    </row>
    <row r="774" spans="1:14" ht="16.5" customHeight="1">
      <c r="A774" s="2"/>
      <c r="N774" s="2"/>
    </row>
    <row r="775" spans="1:14" ht="16.5" customHeight="1">
      <c r="A775" s="2"/>
      <c r="N775" s="2"/>
    </row>
    <row r="776" spans="1:14" ht="16.5" customHeight="1">
      <c r="A776" s="2"/>
      <c r="N776" s="2"/>
    </row>
    <row r="777" spans="1:14" ht="16.5" customHeight="1">
      <c r="A777" s="2"/>
      <c r="N777" s="2"/>
    </row>
    <row r="778" spans="1:14" ht="16.5" customHeight="1">
      <c r="A778" s="2"/>
      <c r="N778" s="2"/>
    </row>
    <row r="779" spans="1:14" ht="16.5" customHeight="1">
      <c r="A779" s="2"/>
      <c r="N779" s="2"/>
    </row>
    <row r="780" spans="1:14" ht="16.5" customHeight="1">
      <c r="A780" s="2"/>
      <c r="N780" s="2"/>
    </row>
    <row r="781" spans="1:14" ht="16.5" customHeight="1">
      <c r="A781" s="2"/>
      <c r="N781" s="2"/>
    </row>
    <row r="782" spans="1:14" ht="16.5" customHeight="1">
      <c r="A782" s="2"/>
      <c r="N782" s="2"/>
    </row>
    <row r="783" spans="1:14" ht="16.5" customHeight="1">
      <c r="A783" s="2"/>
      <c r="N783" s="2"/>
    </row>
    <row r="784" spans="1:14" ht="16.5" customHeight="1">
      <c r="A784" s="2"/>
      <c r="N784" s="2"/>
    </row>
    <row r="785" spans="1:14" ht="16.5" customHeight="1">
      <c r="A785" s="2"/>
      <c r="N785" s="2"/>
    </row>
    <row r="786" spans="1:14" ht="16.5" customHeight="1">
      <c r="A786" s="2"/>
      <c r="N786" s="2"/>
    </row>
    <row r="787" spans="1:14" ht="16.5" customHeight="1">
      <c r="A787" s="2"/>
      <c r="N787" s="2"/>
    </row>
    <row r="788" spans="1:14" ht="16.5" customHeight="1">
      <c r="A788" s="2"/>
      <c r="N788" s="2"/>
    </row>
    <row r="789" spans="1:14" ht="16.5" customHeight="1">
      <c r="A789" s="2"/>
      <c r="N789" s="2"/>
    </row>
    <row r="790" spans="1:14" ht="16.5" customHeight="1">
      <c r="A790" s="2"/>
      <c r="N790" s="2"/>
    </row>
    <row r="791" spans="1:14" ht="16.5" customHeight="1">
      <c r="A791" s="2"/>
      <c r="N791" s="2"/>
    </row>
    <row r="792" spans="1:14" ht="16.5" customHeight="1">
      <c r="A792" s="2"/>
      <c r="N792" s="2"/>
    </row>
    <row r="793" spans="1:14" ht="16.5" customHeight="1">
      <c r="A793" s="2"/>
      <c r="N793" s="2"/>
    </row>
    <row r="794" spans="1:14" ht="16.5" customHeight="1">
      <c r="A794" s="2"/>
      <c r="N794" s="2"/>
    </row>
    <row r="795" spans="1:14" ht="16.5" customHeight="1">
      <c r="A795" s="2"/>
      <c r="N795" s="2"/>
    </row>
    <row r="796" spans="1:14" ht="16.5" customHeight="1">
      <c r="A796" s="2"/>
      <c r="N796" s="2"/>
    </row>
    <row r="797" spans="1:14" ht="16.5" customHeight="1">
      <c r="A797" s="2"/>
      <c r="N797" s="2"/>
    </row>
    <row r="798" spans="1:14" ht="16.5" customHeight="1">
      <c r="A798" s="2"/>
      <c r="N798" s="2"/>
    </row>
    <row r="799" spans="1:14" ht="16.5" customHeight="1">
      <c r="A799" s="2"/>
      <c r="N799" s="2"/>
    </row>
    <row r="800" spans="1:14" ht="16.5" customHeight="1">
      <c r="A800" s="2"/>
      <c r="N800" s="2"/>
    </row>
    <row r="801" spans="1:14" ht="16.5" customHeight="1">
      <c r="A801" s="2"/>
      <c r="N801" s="2"/>
    </row>
    <row r="802" spans="1:14" ht="16.5" customHeight="1">
      <c r="A802" s="2"/>
      <c r="N802" s="2"/>
    </row>
    <row r="803" spans="1:14" ht="16.5" customHeight="1">
      <c r="A803" s="2"/>
      <c r="N803" s="2"/>
    </row>
    <row r="804" spans="1:14" ht="16.5" customHeight="1">
      <c r="A804" s="2"/>
      <c r="N804" s="2"/>
    </row>
    <row r="805" spans="1:14" ht="16.5" customHeight="1">
      <c r="A805" s="2"/>
      <c r="N805" s="2"/>
    </row>
    <row r="806" spans="1:14" ht="16.5" customHeight="1">
      <c r="A806" s="2"/>
      <c r="N806" s="2"/>
    </row>
    <row r="807" spans="1:14" ht="16.5" customHeight="1">
      <c r="A807" s="2"/>
      <c r="N807" s="2"/>
    </row>
    <row r="808" spans="1:14" ht="16.5" customHeight="1">
      <c r="A808" s="2"/>
      <c r="N808" s="2"/>
    </row>
    <row r="809" spans="1:14" ht="16.5" customHeight="1">
      <c r="A809" s="2"/>
      <c r="N809" s="2"/>
    </row>
    <row r="810" spans="1:14" ht="16.5" customHeight="1">
      <c r="A810" s="2"/>
      <c r="N810" s="2"/>
    </row>
    <row r="811" spans="1:14" ht="16.5" customHeight="1">
      <c r="A811" s="2"/>
      <c r="N811" s="2"/>
    </row>
    <row r="812" spans="1:14" ht="16.5" customHeight="1">
      <c r="A812" s="2"/>
      <c r="N812" s="2"/>
    </row>
    <row r="813" spans="1:14" ht="16.5" customHeight="1">
      <c r="A813" s="2"/>
      <c r="N813" s="2"/>
    </row>
    <row r="814" spans="1:14" ht="16.5" customHeight="1">
      <c r="A814" s="2"/>
      <c r="N814" s="2"/>
    </row>
    <row r="815" spans="1:14" ht="16.5" customHeight="1">
      <c r="A815" s="2"/>
      <c r="N815" s="2"/>
    </row>
    <row r="816" spans="1:14" ht="16.5" customHeight="1">
      <c r="A816" s="2"/>
      <c r="N816" s="2"/>
    </row>
    <row r="817" spans="1:14" ht="16.5" customHeight="1">
      <c r="A817" s="2"/>
      <c r="N817" s="2"/>
    </row>
    <row r="818" spans="1:14" ht="16.5" customHeight="1">
      <c r="A818" s="2"/>
      <c r="N818" s="2"/>
    </row>
    <row r="819" spans="1:14" ht="16.5" customHeight="1">
      <c r="A819" s="2"/>
      <c r="N819" s="2"/>
    </row>
    <row r="820" spans="1:14" ht="16.5" customHeight="1">
      <c r="A820" s="2"/>
      <c r="N820" s="2"/>
    </row>
    <row r="821" spans="1:14" ht="16.5" customHeight="1">
      <c r="A821" s="2"/>
      <c r="N821" s="2"/>
    </row>
    <row r="822" spans="1:14" ht="16.5" customHeight="1">
      <c r="A822" s="2"/>
      <c r="N822" s="2"/>
    </row>
    <row r="823" spans="1:14" ht="16.5" customHeight="1">
      <c r="A823" s="2"/>
      <c r="N823" s="2"/>
    </row>
    <row r="824" spans="1:14" ht="16.5" customHeight="1">
      <c r="A824" s="2"/>
      <c r="N824" s="2"/>
    </row>
    <row r="825" spans="1:14" ht="16.5" customHeight="1">
      <c r="A825" s="2"/>
      <c r="N825" s="2"/>
    </row>
    <row r="826" spans="1:14" ht="16.5" customHeight="1">
      <c r="A826" s="2"/>
      <c r="N826" s="2"/>
    </row>
    <row r="827" spans="1:14" ht="16.5" customHeight="1">
      <c r="A827" s="2"/>
      <c r="N827" s="2"/>
    </row>
    <row r="828" spans="1:14" ht="16.5" customHeight="1">
      <c r="A828" s="2"/>
      <c r="N828" s="2"/>
    </row>
    <row r="829" spans="1:14" ht="16.5" customHeight="1">
      <c r="A829" s="2"/>
      <c r="N829" s="2"/>
    </row>
    <row r="830" spans="1:14" ht="16.5" customHeight="1">
      <c r="A830" s="2"/>
      <c r="N830" s="2"/>
    </row>
    <row r="831" spans="1:14" ht="16.5" customHeight="1">
      <c r="A831" s="2"/>
      <c r="N831" s="2"/>
    </row>
    <row r="832" spans="1:14" ht="16.5" customHeight="1">
      <c r="A832" s="2"/>
      <c r="N832" s="2"/>
    </row>
    <row r="833" spans="1:14" ht="16.5" customHeight="1">
      <c r="A833" s="2"/>
      <c r="N833" s="2"/>
    </row>
    <row r="834" spans="1:14" ht="16.5" customHeight="1">
      <c r="A834" s="2"/>
      <c r="N834" s="2"/>
    </row>
    <row r="835" spans="1:14" ht="16.5" customHeight="1">
      <c r="A835" s="2"/>
      <c r="N835" s="2"/>
    </row>
    <row r="836" spans="1:14" ht="16.5" customHeight="1">
      <c r="A836" s="2"/>
      <c r="N836" s="2"/>
    </row>
    <row r="837" spans="1:14" ht="16.5" customHeight="1">
      <c r="A837" s="2"/>
      <c r="N837" s="2"/>
    </row>
    <row r="838" spans="1:14" ht="16.5" customHeight="1">
      <c r="A838" s="2"/>
      <c r="N838" s="2"/>
    </row>
    <row r="839" spans="1:14" ht="16.5" customHeight="1">
      <c r="A839" s="2"/>
      <c r="N839" s="2"/>
    </row>
    <row r="840" spans="1:14" ht="16.5" customHeight="1">
      <c r="A840" s="2"/>
      <c r="N840" s="2"/>
    </row>
    <row r="841" spans="1:14" ht="16.5" customHeight="1">
      <c r="A841" s="2"/>
      <c r="N841" s="2"/>
    </row>
    <row r="842" spans="1:14" ht="16.5" customHeight="1">
      <c r="A842" s="2"/>
      <c r="N842" s="2"/>
    </row>
    <row r="843" spans="1:14" ht="16.5" customHeight="1">
      <c r="A843" s="2"/>
      <c r="N843" s="2"/>
    </row>
    <row r="844" spans="1:14" ht="16.5" customHeight="1">
      <c r="A844" s="2"/>
      <c r="N844" s="2"/>
    </row>
    <row r="845" spans="1:14" ht="16.5" customHeight="1">
      <c r="A845" s="2"/>
      <c r="N845" s="2"/>
    </row>
    <row r="846" spans="1:14" ht="16.5" customHeight="1">
      <c r="A846" s="2"/>
      <c r="N846" s="2"/>
    </row>
    <row r="847" spans="1:14" ht="16.5" customHeight="1">
      <c r="A847" s="2"/>
      <c r="N847" s="2"/>
    </row>
    <row r="848" spans="1:14" ht="16.5" customHeight="1">
      <c r="A848" s="2"/>
      <c r="N848" s="2"/>
    </row>
    <row r="849" spans="1:14" ht="16.5" customHeight="1">
      <c r="A849" s="2"/>
      <c r="N849" s="2"/>
    </row>
    <row r="850" spans="1:14" ht="16.5" customHeight="1">
      <c r="A850" s="2"/>
      <c r="N850" s="2"/>
    </row>
    <row r="851" spans="1:14" ht="16.5" customHeight="1">
      <c r="A851" s="2"/>
      <c r="N851" s="2"/>
    </row>
    <row r="852" spans="1:14" ht="16.5" customHeight="1">
      <c r="A852" s="2"/>
      <c r="N852" s="2"/>
    </row>
    <row r="853" spans="1:14" ht="16.5" customHeight="1">
      <c r="A853" s="2"/>
      <c r="N853" s="2"/>
    </row>
    <row r="854" spans="1:14" ht="16.5" customHeight="1">
      <c r="A854" s="2"/>
      <c r="N854" s="2"/>
    </row>
    <row r="855" spans="1:14" ht="16.5" customHeight="1">
      <c r="A855" s="2"/>
      <c r="N855" s="2"/>
    </row>
    <row r="856" spans="1:14" ht="16.5" customHeight="1">
      <c r="A856" s="2"/>
      <c r="N856" s="2"/>
    </row>
    <row r="857" spans="1:14" ht="16.5" customHeight="1">
      <c r="A857" s="2"/>
      <c r="N857" s="2"/>
    </row>
    <row r="858" spans="1:14" ht="16.5" customHeight="1">
      <c r="A858" s="2"/>
      <c r="N858" s="2"/>
    </row>
    <row r="859" spans="1:14" ht="16.5" customHeight="1">
      <c r="A859" s="2"/>
      <c r="N859" s="2"/>
    </row>
    <row r="860" spans="1:14" ht="16.5" customHeight="1">
      <c r="A860" s="2"/>
      <c r="N860" s="2"/>
    </row>
    <row r="861" spans="1:14" ht="16.5" customHeight="1">
      <c r="A861" s="2"/>
      <c r="N861" s="2"/>
    </row>
    <row r="862" spans="1:14" ht="16.5" customHeight="1">
      <c r="A862" s="2"/>
      <c r="N862" s="2"/>
    </row>
    <row r="863" spans="1:14" ht="16.5" customHeight="1">
      <c r="A863" s="2"/>
      <c r="N863" s="2"/>
    </row>
    <row r="864" spans="1:14" ht="16.5" customHeight="1">
      <c r="A864" s="2"/>
      <c r="N864" s="2"/>
    </row>
    <row r="865" spans="1:14" ht="16.5" customHeight="1">
      <c r="A865" s="2"/>
      <c r="N865" s="2"/>
    </row>
    <row r="866" spans="1:14" ht="16.5" customHeight="1">
      <c r="A866" s="2"/>
      <c r="N866" s="2"/>
    </row>
    <row r="867" spans="1:14" ht="16.5" customHeight="1">
      <c r="A867" s="2"/>
      <c r="N867" s="2"/>
    </row>
    <row r="868" spans="1:14" ht="16.5" customHeight="1">
      <c r="A868" s="2"/>
      <c r="N868" s="2"/>
    </row>
    <row r="869" spans="1:14" ht="16.5" customHeight="1">
      <c r="A869" s="2"/>
      <c r="N869" s="2"/>
    </row>
    <row r="870" spans="1:14" ht="16.5" customHeight="1">
      <c r="A870" s="2"/>
      <c r="N870" s="2"/>
    </row>
    <row r="871" spans="1:14" ht="16.5" customHeight="1">
      <c r="A871" s="2"/>
      <c r="N871" s="2"/>
    </row>
    <row r="872" spans="1:14" ht="16.5" customHeight="1">
      <c r="A872" s="2"/>
      <c r="N872" s="2"/>
    </row>
    <row r="873" spans="1:14" ht="16.5" customHeight="1">
      <c r="A873" s="2"/>
      <c r="N873" s="2"/>
    </row>
    <row r="874" spans="1:14" ht="16.5" customHeight="1">
      <c r="A874" s="2"/>
      <c r="N874" s="2"/>
    </row>
    <row r="875" spans="1:14" ht="16.5" customHeight="1">
      <c r="A875" s="2"/>
      <c r="N875" s="2"/>
    </row>
    <row r="876" spans="1:14" ht="16.5" customHeight="1">
      <c r="A876" s="2"/>
      <c r="N876" s="2"/>
    </row>
    <row r="877" spans="1:14" ht="16.5" customHeight="1">
      <c r="A877" s="2"/>
      <c r="N877" s="2"/>
    </row>
    <row r="878" spans="1:14" ht="16.5" customHeight="1">
      <c r="A878" s="2"/>
      <c r="N878" s="2"/>
    </row>
    <row r="879" spans="1:14" ht="16.5" customHeight="1">
      <c r="A879" s="2"/>
      <c r="N879" s="2"/>
    </row>
    <row r="880" spans="1:14" ht="16.5" customHeight="1">
      <c r="A880" s="2"/>
      <c r="N880" s="2"/>
    </row>
    <row r="881" spans="1:14" ht="16.5" customHeight="1">
      <c r="A881" s="2"/>
      <c r="N881" s="2"/>
    </row>
    <row r="882" spans="1:14" ht="16.5" customHeight="1">
      <c r="A882" s="2"/>
      <c r="N882" s="2"/>
    </row>
    <row r="883" spans="1:14" ht="16.5" customHeight="1">
      <c r="A883" s="2"/>
      <c r="N883" s="2"/>
    </row>
    <row r="884" spans="1:14" ht="16.5" customHeight="1">
      <c r="A884" s="2"/>
      <c r="N884" s="2"/>
    </row>
    <row r="885" spans="1:14" ht="16.5" customHeight="1">
      <c r="A885" s="2"/>
      <c r="N885" s="2"/>
    </row>
    <row r="886" spans="1:14" ht="16.5" customHeight="1">
      <c r="A886" s="2"/>
      <c r="N886" s="2"/>
    </row>
    <row r="887" spans="1:14" ht="16.5" customHeight="1">
      <c r="A887" s="2"/>
      <c r="N887" s="2"/>
    </row>
    <row r="888" spans="1:14" ht="16.5" customHeight="1">
      <c r="A888" s="2"/>
      <c r="N888" s="2"/>
    </row>
    <row r="889" spans="1:14" ht="16.5" customHeight="1">
      <c r="A889" s="2"/>
      <c r="N889" s="2"/>
    </row>
    <row r="890" spans="1:14" ht="16.5" customHeight="1">
      <c r="A890" s="2"/>
      <c r="N890" s="2"/>
    </row>
    <row r="891" spans="1:14" ht="16.5" customHeight="1">
      <c r="A891" s="2"/>
      <c r="N891" s="2"/>
    </row>
    <row r="892" spans="1:14" ht="16.5" customHeight="1">
      <c r="A892" s="2"/>
      <c r="N892" s="2"/>
    </row>
    <row r="893" spans="1:14" ht="16.5" customHeight="1">
      <c r="A893" s="2"/>
      <c r="N893" s="2"/>
    </row>
    <row r="894" spans="1:14" ht="16.5" customHeight="1">
      <c r="A894" s="2"/>
      <c r="N894" s="2"/>
    </row>
    <row r="895" spans="1:14" ht="16.5" customHeight="1">
      <c r="A895" s="2"/>
      <c r="N895" s="2"/>
    </row>
    <row r="896" spans="1:14" ht="16.5" customHeight="1">
      <c r="A896" s="2"/>
      <c r="N896" s="2"/>
    </row>
    <row r="897" spans="1:14" ht="16.5" customHeight="1">
      <c r="A897" s="2"/>
      <c r="N897" s="2"/>
    </row>
    <row r="898" spans="1:14" ht="16.5" customHeight="1">
      <c r="A898" s="2"/>
      <c r="N898" s="2"/>
    </row>
    <row r="899" spans="1:14" ht="16.5" customHeight="1">
      <c r="A899" s="2"/>
      <c r="N899" s="2"/>
    </row>
    <row r="900" spans="1:14" ht="16.5" customHeight="1">
      <c r="A900" s="2"/>
      <c r="N900" s="2"/>
    </row>
    <row r="901" spans="1:14" ht="16.5" customHeight="1">
      <c r="A901" s="2"/>
      <c r="N901" s="2"/>
    </row>
    <row r="902" spans="1:14" ht="16.5" customHeight="1">
      <c r="A902" s="2"/>
      <c r="N902" s="2"/>
    </row>
    <row r="903" spans="1:14" ht="16.5" customHeight="1">
      <c r="A903" s="2"/>
      <c r="N903" s="2"/>
    </row>
    <row r="904" spans="1:14" ht="16.5" customHeight="1">
      <c r="A904" s="2"/>
      <c r="N904" s="2"/>
    </row>
    <row r="905" spans="1:14" ht="16.5" customHeight="1">
      <c r="A905" s="2"/>
      <c r="N905" s="2"/>
    </row>
    <row r="906" spans="1:14" ht="16.5" customHeight="1">
      <c r="A906" s="2"/>
      <c r="N906" s="2"/>
    </row>
    <row r="907" spans="1:14" ht="16.5" customHeight="1">
      <c r="A907" s="2"/>
      <c r="N907" s="2"/>
    </row>
    <row r="908" spans="1:14" ht="16.5" customHeight="1">
      <c r="A908" s="2"/>
      <c r="N908" s="2"/>
    </row>
    <row r="909" spans="1:14" ht="16.5" customHeight="1">
      <c r="A909" s="2"/>
      <c r="N909" s="2"/>
    </row>
    <row r="910" spans="1:14" ht="16.5" customHeight="1">
      <c r="A910" s="2"/>
      <c r="N910" s="2"/>
    </row>
    <row r="911" spans="1:14" ht="16.5" customHeight="1">
      <c r="A911" s="2"/>
      <c r="N911" s="2"/>
    </row>
    <row r="912" spans="1:14" ht="16.5" customHeight="1">
      <c r="A912" s="2"/>
      <c r="N912" s="2"/>
    </row>
    <row r="913" spans="1:14" ht="16.5" customHeight="1">
      <c r="A913" s="2"/>
      <c r="N913" s="2"/>
    </row>
    <row r="914" spans="1:14" ht="16.5" customHeight="1">
      <c r="A914" s="2"/>
      <c r="N914" s="2"/>
    </row>
    <row r="915" spans="1:14" ht="16.5" customHeight="1">
      <c r="A915" s="2"/>
      <c r="N915" s="2"/>
    </row>
    <row r="916" spans="1:14" ht="16.5" customHeight="1">
      <c r="A916" s="2"/>
      <c r="N916" s="2"/>
    </row>
    <row r="917" spans="1:14" ht="16.5" customHeight="1">
      <c r="A917" s="2"/>
      <c r="N917" s="2"/>
    </row>
    <row r="918" spans="1:14" ht="16.5" customHeight="1">
      <c r="A918" s="2"/>
      <c r="N918" s="2"/>
    </row>
    <row r="919" spans="1:14" ht="16.5" customHeight="1">
      <c r="A919" s="2"/>
      <c r="N919" s="2"/>
    </row>
    <row r="920" spans="1:14" ht="16.5" customHeight="1">
      <c r="A920" s="2"/>
      <c r="N920" s="2"/>
    </row>
    <row r="921" spans="1:14" ht="16.5" customHeight="1">
      <c r="A921" s="2"/>
      <c r="N921" s="2"/>
    </row>
    <row r="922" spans="1:14" ht="16.5" customHeight="1">
      <c r="A922" s="2"/>
      <c r="N922" s="2"/>
    </row>
    <row r="923" spans="1:14" ht="16.5" customHeight="1">
      <c r="A923" s="2"/>
      <c r="N923" s="2"/>
    </row>
    <row r="924" spans="1:14" ht="16.5" customHeight="1">
      <c r="A924" s="2"/>
      <c r="N924" s="2"/>
    </row>
    <row r="925" spans="1:14" ht="16.5" customHeight="1">
      <c r="A925" s="2"/>
      <c r="N925" s="2"/>
    </row>
    <row r="926" spans="1:14" ht="16.5" customHeight="1">
      <c r="A926" s="2"/>
      <c r="N926" s="2"/>
    </row>
    <row r="927" spans="1:14" ht="16.5" customHeight="1">
      <c r="A927" s="2"/>
      <c r="N927" s="2"/>
    </row>
    <row r="928" spans="1:14" ht="16.5" customHeight="1">
      <c r="A928" s="2"/>
      <c r="N928" s="2"/>
    </row>
    <row r="929" spans="1:14" ht="16.5" customHeight="1">
      <c r="A929" s="2"/>
      <c r="N929" s="2"/>
    </row>
    <row r="930" spans="1:14" ht="16.5" customHeight="1">
      <c r="A930" s="2"/>
      <c r="N930" s="2"/>
    </row>
    <row r="931" spans="1:14" ht="16.5" customHeight="1">
      <c r="A931" s="2"/>
      <c r="N931" s="2"/>
    </row>
    <row r="932" spans="1:14" ht="16.5" customHeight="1">
      <c r="A932" s="2"/>
      <c r="N932" s="2"/>
    </row>
    <row r="933" spans="1:14" ht="16.5" customHeight="1">
      <c r="A933" s="2"/>
      <c r="N933" s="2"/>
    </row>
    <row r="934" spans="1:14" ht="16.5" customHeight="1">
      <c r="A934" s="2"/>
      <c r="N934" s="2"/>
    </row>
    <row r="935" spans="1:14" ht="16.5" customHeight="1">
      <c r="A935" s="2"/>
      <c r="N935" s="2"/>
    </row>
    <row r="936" spans="1:14" ht="16.5" customHeight="1">
      <c r="A936" s="2"/>
      <c r="N936" s="2"/>
    </row>
    <row r="937" spans="1:14" ht="16.5" customHeight="1">
      <c r="A937" s="2"/>
      <c r="N937" s="2"/>
    </row>
    <row r="938" spans="1:14" ht="16.5" customHeight="1">
      <c r="A938" s="2"/>
      <c r="N938" s="2"/>
    </row>
    <row r="939" spans="1:14" ht="16.5" customHeight="1">
      <c r="A939" s="2"/>
      <c r="N939" s="2"/>
    </row>
    <row r="940" spans="1:14" ht="16.5" customHeight="1">
      <c r="A940" s="2"/>
      <c r="N940" s="2"/>
    </row>
    <row r="941" spans="1:14" ht="16.5" customHeight="1">
      <c r="A941" s="2"/>
      <c r="N941" s="2"/>
    </row>
    <row r="942" spans="1:14" ht="16.5" customHeight="1">
      <c r="A942" s="2"/>
      <c r="N942" s="2"/>
    </row>
    <row r="943" spans="1:14" ht="16.5" customHeight="1">
      <c r="A943" s="2"/>
      <c r="N943" s="2"/>
    </row>
    <row r="944" spans="1:14" ht="16.5" customHeight="1">
      <c r="A944" s="2"/>
      <c r="N944" s="2"/>
    </row>
    <row r="945" spans="1:14" ht="16.5" customHeight="1">
      <c r="A945" s="2"/>
      <c r="N945" s="2"/>
    </row>
    <row r="946" spans="1:14" ht="16.5" customHeight="1">
      <c r="A946" s="2"/>
      <c r="N946" s="2"/>
    </row>
    <row r="947" spans="1:14" ht="16.5" customHeight="1">
      <c r="A947" s="2"/>
      <c r="N947" s="2"/>
    </row>
    <row r="948" spans="1:14" ht="16.5" customHeight="1">
      <c r="A948" s="2"/>
      <c r="N948" s="2"/>
    </row>
    <row r="949" spans="1:14" ht="16.5" customHeight="1">
      <c r="A949" s="2"/>
      <c r="N949" s="2"/>
    </row>
    <row r="950" spans="1:14" ht="16.5" customHeight="1">
      <c r="A950" s="2"/>
      <c r="N950" s="2"/>
    </row>
    <row r="951" spans="1:14" ht="16.5" customHeight="1">
      <c r="A951" s="2"/>
      <c r="N951" s="2"/>
    </row>
    <row r="952" spans="1:14" ht="16.5" customHeight="1">
      <c r="A952" s="2"/>
      <c r="N952" s="2"/>
    </row>
    <row r="953" spans="1:14" ht="16.5" customHeight="1">
      <c r="A953" s="2"/>
      <c r="N953" s="2"/>
    </row>
    <row r="954" spans="1:14" ht="16.5" customHeight="1">
      <c r="A954" s="2"/>
      <c r="N954" s="2"/>
    </row>
    <row r="955" spans="1:14" ht="16.5" customHeight="1">
      <c r="A955" s="2"/>
      <c r="N955" s="2"/>
    </row>
    <row r="956" spans="1:14" ht="16.5" customHeight="1">
      <c r="A956" s="2"/>
      <c r="N956" s="2"/>
    </row>
    <row r="957" spans="1:14" ht="16.5" customHeight="1">
      <c r="A957" s="2"/>
      <c r="N957" s="2"/>
    </row>
    <row r="958" spans="1:14" ht="16.5" customHeight="1">
      <c r="A958" s="2"/>
      <c r="N958" s="2"/>
    </row>
    <row r="959" spans="1:14" ht="16.5" customHeight="1">
      <c r="A959" s="2"/>
      <c r="N959" s="2"/>
    </row>
    <row r="960" spans="1:14" ht="16.5" customHeight="1">
      <c r="A960" s="2"/>
      <c r="N960" s="2"/>
    </row>
    <row r="961" spans="1:14" ht="16.5" customHeight="1">
      <c r="A961" s="2"/>
      <c r="N961" s="2"/>
    </row>
    <row r="962" spans="1:14" ht="16.5" customHeight="1">
      <c r="A962" s="2"/>
      <c r="N962" s="2"/>
    </row>
    <row r="963" spans="1:14" ht="16.5" customHeight="1">
      <c r="A963" s="2"/>
      <c r="N963" s="2"/>
    </row>
    <row r="964" spans="1:14" ht="16.5" customHeight="1">
      <c r="A964" s="2"/>
      <c r="N964" s="2"/>
    </row>
    <row r="965" spans="1:14" ht="16.5" customHeight="1">
      <c r="A965" s="2"/>
      <c r="N965" s="2"/>
    </row>
    <row r="966" spans="1:14" ht="16.5" customHeight="1">
      <c r="A966" s="2"/>
      <c r="N966" s="2"/>
    </row>
    <row r="967" spans="1:14" ht="16.5" customHeight="1">
      <c r="A967" s="2"/>
      <c r="N967" s="2"/>
    </row>
    <row r="968" spans="1:14" ht="16.5" customHeight="1">
      <c r="A968" s="2"/>
      <c r="N968" s="2"/>
    </row>
    <row r="969" spans="1:14" ht="16.5" customHeight="1">
      <c r="A969" s="2"/>
      <c r="N969" s="2"/>
    </row>
    <row r="970" spans="1:14" ht="16.5" customHeight="1">
      <c r="A970" s="2"/>
      <c r="N970" s="2"/>
    </row>
    <row r="971" spans="1:14" ht="16.5" customHeight="1">
      <c r="A971" s="2"/>
      <c r="N971" s="2"/>
    </row>
    <row r="972" spans="1:14" ht="16.5" customHeight="1">
      <c r="A972" s="2"/>
      <c r="N972" s="2"/>
    </row>
    <row r="973" spans="1:14" ht="16.5" customHeight="1">
      <c r="A973" s="2"/>
      <c r="N973" s="2"/>
    </row>
    <row r="974" spans="1:14" ht="16.5" customHeight="1">
      <c r="A974" s="2"/>
      <c r="N974" s="2"/>
    </row>
    <row r="975" spans="1:14" ht="16.5" customHeight="1">
      <c r="A975" s="2"/>
      <c r="N975" s="2"/>
    </row>
    <row r="976" spans="1:14" ht="16.5" customHeight="1">
      <c r="A976" s="2"/>
      <c r="N976" s="2"/>
    </row>
    <row r="977" spans="1:14" ht="16.5" customHeight="1">
      <c r="A977" s="2"/>
      <c r="N977" s="2"/>
    </row>
    <row r="978" spans="1:14" ht="16.5" customHeight="1">
      <c r="A978" s="2"/>
      <c r="N978" s="2"/>
    </row>
    <row r="979" spans="1:14" ht="16.5" customHeight="1">
      <c r="A979" s="2"/>
      <c r="N979" s="2"/>
    </row>
    <row r="980" spans="1:14" ht="16.5" customHeight="1">
      <c r="A980" s="2"/>
      <c r="N980" s="2"/>
    </row>
    <row r="981" spans="1:14" ht="16.5" customHeight="1">
      <c r="A981" s="2"/>
      <c r="N981" s="2"/>
    </row>
    <row r="982" spans="1:14" ht="16.5" customHeight="1">
      <c r="A982" s="2"/>
      <c r="N982" s="2"/>
    </row>
    <row r="983" spans="1:14" ht="16.5" customHeight="1">
      <c r="A983" s="2"/>
      <c r="N983" s="2"/>
    </row>
    <row r="984" spans="1:14" ht="16.5" customHeight="1">
      <c r="A984" s="2"/>
      <c r="N984" s="2"/>
    </row>
    <row r="985" spans="1:14" ht="16.5" customHeight="1">
      <c r="A985" s="2"/>
      <c r="N985" s="2"/>
    </row>
    <row r="986" spans="1:14" ht="16.5" customHeight="1">
      <c r="A986" s="2"/>
      <c r="N986" s="2"/>
    </row>
    <row r="987" spans="1:14" ht="16.5" customHeight="1">
      <c r="A987" s="2"/>
      <c r="N987" s="2"/>
    </row>
    <row r="988" spans="1:14" ht="16.5" customHeight="1">
      <c r="A988" s="2"/>
      <c r="N988" s="2"/>
    </row>
    <row r="989" spans="1:14" ht="16.5" customHeight="1">
      <c r="A989" s="2"/>
      <c r="N989" s="2"/>
    </row>
    <row r="990" spans="1:14" ht="16.5" customHeight="1">
      <c r="A990" s="2"/>
      <c r="N990" s="2"/>
    </row>
    <row r="991" spans="1:14" ht="16.5" customHeight="1">
      <c r="A991" s="2"/>
      <c r="N991" s="2"/>
    </row>
    <row r="992" spans="1:14" ht="16.5" customHeight="1">
      <c r="A992" s="2"/>
      <c r="N992" s="2"/>
    </row>
    <row r="993" spans="1:14" ht="16.5" customHeight="1">
      <c r="A993" s="2"/>
      <c r="N993" s="2"/>
    </row>
    <row r="994" spans="1:14" ht="16.5" customHeight="1">
      <c r="A994" s="2"/>
      <c r="N994" s="2"/>
    </row>
    <row r="995" spans="1:14" ht="16.5" customHeight="1">
      <c r="A995" s="2"/>
      <c r="N995" s="2"/>
    </row>
    <row r="996" spans="1:14" ht="16.5" customHeight="1">
      <c r="A996" s="2"/>
      <c r="N996" s="2"/>
    </row>
    <row r="997" spans="1:14" ht="16.5" customHeight="1">
      <c r="A997" s="2"/>
      <c r="N997" s="2"/>
    </row>
    <row r="998" spans="1:14" ht="16.5" customHeight="1">
      <c r="A998" s="2"/>
      <c r="N998" s="2"/>
    </row>
    <row r="999" spans="1:14" ht="16.5" customHeight="1">
      <c r="A999" s="2"/>
      <c r="N999" s="2"/>
    </row>
    <row r="1000" spans="1:14" ht="16.5" customHeight="1">
      <c r="A1000" s="2"/>
      <c r="N1000" s="2"/>
    </row>
    <row r="1001" spans="1:14" ht="16.5" customHeight="1">
      <c r="A1001" s="2"/>
      <c r="N1001" s="2"/>
    </row>
    <row r="1002" spans="1:14" ht="16.5" customHeight="1">
      <c r="A1002" s="2"/>
      <c r="N1002" s="2"/>
    </row>
    <row r="1003" spans="1:14" ht="16.5" customHeight="1">
      <c r="A1003" s="2"/>
      <c r="N1003" s="2"/>
    </row>
    <row r="1004" spans="1:14" ht="16.5" customHeight="1">
      <c r="A1004" s="2"/>
      <c r="N1004" s="2"/>
    </row>
    <row r="1005" spans="1:14" ht="16.5" customHeight="1">
      <c r="A1005" s="2"/>
      <c r="N1005" s="2"/>
    </row>
    <row r="1006" spans="1:14" ht="16.5" customHeight="1">
      <c r="A1006" s="2"/>
      <c r="N1006" s="2"/>
    </row>
    <row r="1007" spans="1:14" ht="16.5" customHeight="1">
      <c r="A1007" s="2"/>
      <c r="N1007" s="2"/>
    </row>
  </sheetData>
  <mergeCells count="76">
    <mergeCell ref="D39:D40"/>
    <mergeCell ref="D37:D38"/>
    <mergeCell ref="M37:N40"/>
    <mergeCell ref="M31:N36"/>
    <mergeCell ref="M5:M10"/>
    <mergeCell ref="N5:N22"/>
    <mergeCell ref="M27:N30"/>
    <mergeCell ref="M25:N26"/>
    <mergeCell ref="M23:N24"/>
    <mergeCell ref="M11:M16"/>
    <mergeCell ref="M17:M22"/>
    <mergeCell ref="K39:K40"/>
    <mergeCell ref="L39:L40"/>
    <mergeCell ref="G37:G38"/>
    <mergeCell ref="H37:H38"/>
    <mergeCell ref="M65:N66"/>
    <mergeCell ref="M63:N64"/>
    <mergeCell ref="M53:N62"/>
    <mergeCell ref="M44:N52"/>
    <mergeCell ref="M41:N42"/>
    <mergeCell ref="M43:N43"/>
    <mergeCell ref="A100:A103"/>
    <mergeCell ref="B100:B103"/>
    <mergeCell ref="M100:N103"/>
    <mergeCell ref="M84:N99"/>
    <mergeCell ref="M67:N83"/>
    <mergeCell ref="B68:B69"/>
    <mergeCell ref="B71:B75"/>
    <mergeCell ref="B76:B81"/>
    <mergeCell ref="B82:B83"/>
    <mergeCell ref="A84:A99"/>
    <mergeCell ref="B87:B91"/>
    <mergeCell ref="B92:B97"/>
    <mergeCell ref="B98:B99"/>
    <mergeCell ref="A67:A83"/>
    <mergeCell ref="A5:A42"/>
    <mergeCell ref="B5:B10"/>
    <mergeCell ref="B11:B16"/>
    <mergeCell ref="B17:B22"/>
    <mergeCell ref="B23:B26"/>
    <mergeCell ref="B27:B30"/>
    <mergeCell ref="B31:B36"/>
    <mergeCell ref="B37:B40"/>
    <mergeCell ref="B41:B42"/>
    <mergeCell ref="O3:O4"/>
    <mergeCell ref="A104:D104"/>
    <mergeCell ref="A105:D105"/>
    <mergeCell ref="A106:D106"/>
    <mergeCell ref="A107:D107"/>
    <mergeCell ref="A43:D43"/>
    <mergeCell ref="A44:A52"/>
    <mergeCell ref="B44:B48"/>
    <mergeCell ref="B49:B52"/>
    <mergeCell ref="A53:A62"/>
    <mergeCell ref="B54:B57"/>
    <mergeCell ref="B58:B62"/>
    <mergeCell ref="A63:A64"/>
    <mergeCell ref="B63:B64"/>
    <mergeCell ref="A65:A66"/>
    <mergeCell ref="B65:B66"/>
    <mergeCell ref="M104:N104"/>
    <mergeCell ref="M105:N105"/>
    <mergeCell ref="M106:N106"/>
    <mergeCell ref="M107:N107"/>
    <mergeCell ref="A1:O1"/>
    <mergeCell ref="A2:O2"/>
    <mergeCell ref="A3:A4"/>
    <mergeCell ref="B3:B4"/>
    <mergeCell ref="C3:C4"/>
    <mergeCell ref="D3:D4"/>
    <mergeCell ref="E3:E4"/>
    <mergeCell ref="F3:F4"/>
    <mergeCell ref="G3:H3"/>
    <mergeCell ref="I3:J3"/>
    <mergeCell ref="K3:L3"/>
    <mergeCell ref="M3:N3"/>
  </mergeCells>
  <phoneticPr fontId="15" type="noConversion"/>
  <conditionalFormatting sqref="C2">
    <cfRule type="containsText" dxfId="5" priority="2" operator="containsText" text="입력오류">
      <formula>NOT(ISERROR(SEARCH("입력오류",C2)))</formula>
    </cfRule>
  </conditionalFormatting>
  <conditionalFormatting sqref="C5:C36">
    <cfRule type="containsText" dxfId="4" priority="6" operator="containsText" text="입력오류">
      <formula>NOT(ISERROR(SEARCH("입력오류",C5)))</formula>
    </cfRule>
  </conditionalFormatting>
  <conditionalFormatting sqref="C38:C101">
    <cfRule type="containsText" dxfId="3" priority="1" operator="containsText" text="입력오류">
      <formula>NOT(ISERROR(SEARCH("입력오류",C38)))</formula>
    </cfRule>
  </conditionalFormatting>
  <dataValidations count="3">
    <dataValidation type="list" allowBlank="1" showErrorMessage="1" sqref="O44:O103 O5:O42" xr:uid="{00000000-0002-0000-0100-000000000000}">
      <formula1>"성취도 5단계+석차등급O,성취도 5단계+석차등급X,성취도 3단계,이수/미이수"</formula1>
    </dataValidation>
    <dataValidation type="list" allowBlank="1" showErrorMessage="1" sqref="B11 B17 B23 B27 B37 B41 B5 B44 B65 B76 B53 B85 B63 B68 B70:B71" xr:uid="{00000000-0002-0000-0100-000002000000}">
      <formula1>"국어,수학,영어,사회,과학,체육,예술,기술·가정,정보,제2외국어,한문,교양"</formula1>
    </dataValidation>
    <dataValidation type="list" allowBlank="1" showErrorMessage="1" sqref="C5:C42 C44:C103" xr:uid="{A620B0DB-3049-4BCE-8217-CB98141F81F9}">
      <formula1>"공통,일반,진로,융합,진로(전공),융합(전공)"</formula1>
    </dataValidation>
  </dataValidations>
  <pageMargins left="0.7" right="0.7" top="0.75" bottom="0.75" header="0.3" footer="0.3"/>
  <pageSetup paperSize="12" scale="53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1CBBB-3050-4D09-9B04-46A062418990}">
  <sheetPr>
    <pageSetUpPr fitToPage="1"/>
  </sheetPr>
  <dimension ref="A1:O1007"/>
  <sheetViews>
    <sheetView zoomScale="85" zoomScaleNormal="85" workbookViewId="0">
      <pane ySplit="4" topLeftCell="A15" activePane="bottomLeft" state="frozen"/>
      <selection sqref="A1:O1"/>
      <selection pane="bottomLeft" activeCell="F10" sqref="F10"/>
    </sheetView>
  </sheetViews>
  <sheetFormatPr defaultColWidth="14.42578125" defaultRowHeight="15" customHeight="1"/>
  <cols>
    <col min="1" max="1" width="11.7109375" customWidth="1"/>
    <col min="2" max="2" width="9.5703125" customWidth="1"/>
    <col min="3" max="3" width="11.85546875" customWidth="1"/>
    <col min="4" max="4" width="24" customWidth="1"/>
    <col min="5" max="5" width="7.85546875" customWidth="1"/>
    <col min="6" max="6" width="7.7109375" customWidth="1"/>
    <col min="7" max="12" width="7.85546875" customWidth="1"/>
    <col min="13" max="13" width="9" customWidth="1"/>
    <col min="14" max="14" width="9.85546875" customWidth="1"/>
    <col min="15" max="15" width="24.140625" style="16" customWidth="1"/>
    <col min="16" max="23" width="9" customWidth="1"/>
  </cols>
  <sheetData>
    <row r="1" spans="1:15" ht="33" customHeight="1">
      <c r="A1" s="134" t="s">
        <v>613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</row>
    <row r="2" spans="1:15" ht="33" customHeight="1" thickBot="1">
      <c r="A2" s="136" t="s">
        <v>607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</row>
    <row r="3" spans="1:15" ht="34.5" customHeight="1">
      <c r="A3" s="144" t="s">
        <v>412</v>
      </c>
      <c r="B3" s="146" t="s">
        <v>0</v>
      </c>
      <c r="C3" s="148" t="s">
        <v>1</v>
      </c>
      <c r="D3" s="146" t="s">
        <v>2</v>
      </c>
      <c r="E3" s="148" t="s">
        <v>3</v>
      </c>
      <c r="F3" s="149" t="s">
        <v>4</v>
      </c>
      <c r="G3" s="151" t="s">
        <v>5</v>
      </c>
      <c r="H3" s="152"/>
      <c r="I3" s="153" t="s">
        <v>6</v>
      </c>
      <c r="J3" s="152"/>
      <c r="K3" s="153" t="s">
        <v>7</v>
      </c>
      <c r="L3" s="152"/>
      <c r="M3" s="154" t="s">
        <v>8</v>
      </c>
      <c r="N3" s="155"/>
      <c r="O3" s="156" t="s">
        <v>9</v>
      </c>
    </row>
    <row r="4" spans="1:15" ht="16.5" customHeight="1" thickBot="1">
      <c r="A4" s="145"/>
      <c r="B4" s="147"/>
      <c r="C4" s="147"/>
      <c r="D4" s="147"/>
      <c r="E4" s="147"/>
      <c r="F4" s="150"/>
      <c r="G4" s="17" t="s">
        <v>10</v>
      </c>
      <c r="H4" s="1" t="s">
        <v>11</v>
      </c>
      <c r="I4" s="1" t="s">
        <v>10</v>
      </c>
      <c r="J4" s="1" t="s">
        <v>11</v>
      </c>
      <c r="K4" s="1" t="s">
        <v>10</v>
      </c>
      <c r="L4" s="1" t="s">
        <v>11</v>
      </c>
      <c r="M4" s="1" t="s">
        <v>0</v>
      </c>
      <c r="N4" s="18" t="s">
        <v>12</v>
      </c>
      <c r="O4" s="157"/>
    </row>
    <row r="5" spans="1:15" ht="16.5" customHeight="1">
      <c r="A5" s="165" t="s">
        <v>13</v>
      </c>
      <c r="B5" s="166" t="s">
        <v>14</v>
      </c>
      <c r="C5" s="31" t="s">
        <v>15</v>
      </c>
      <c r="D5" s="31" t="s">
        <v>16</v>
      </c>
      <c r="E5" s="31">
        <v>4</v>
      </c>
      <c r="F5" s="31">
        <f t="shared" ref="F5:F42" si="0">SUM(G5:L5)</f>
        <v>3</v>
      </c>
      <c r="G5" s="31">
        <v>3</v>
      </c>
      <c r="H5" s="31"/>
      <c r="I5" s="31"/>
      <c r="J5" s="31"/>
      <c r="K5" s="31"/>
      <c r="L5" s="31"/>
      <c r="M5" s="166">
        <f>SUM(G5:L10)</f>
        <v>22</v>
      </c>
      <c r="N5" s="166">
        <f>SUM(M5:M22)</f>
        <v>66</v>
      </c>
      <c r="O5" s="42" t="s">
        <v>17</v>
      </c>
    </row>
    <row r="6" spans="1:15" ht="16.5" customHeight="1">
      <c r="A6" s="159"/>
      <c r="B6" s="167"/>
      <c r="C6" s="31" t="s">
        <v>15</v>
      </c>
      <c r="D6" s="31" t="s">
        <v>18</v>
      </c>
      <c r="E6" s="31">
        <v>4</v>
      </c>
      <c r="F6" s="31">
        <f t="shared" si="0"/>
        <v>3</v>
      </c>
      <c r="G6" s="31"/>
      <c r="H6" s="31">
        <v>3</v>
      </c>
      <c r="I6" s="31"/>
      <c r="J6" s="31"/>
      <c r="K6" s="31"/>
      <c r="L6" s="31"/>
      <c r="M6" s="167"/>
      <c r="N6" s="167"/>
      <c r="O6" s="42" t="s">
        <v>17</v>
      </c>
    </row>
    <row r="7" spans="1:15" ht="16.5" customHeight="1">
      <c r="A7" s="159"/>
      <c r="B7" s="167"/>
      <c r="C7" s="31" t="s">
        <v>19</v>
      </c>
      <c r="D7" s="31" t="s">
        <v>453</v>
      </c>
      <c r="E7" s="31">
        <v>4</v>
      </c>
      <c r="F7" s="31">
        <f t="shared" si="0"/>
        <v>4</v>
      </c>
      <c r="G7" s="31"/>
      <c r="H7" s="31"/>
      <c r="I7" s="31">
        <v>4</v>
      </c>
      <c r="J7" s="31"/>
      <c r="K7" s="31"/>
      <c r="L7" s="31"/>
      <c r="M7" s="167"/>
      <c r="N7" s="167"/>
      <c r="O7" s="42" t="s">
        <v>17</v>
      </c>
    </row>
    <row r="8" spans="1:15" ht="16.5" customHeight="1">
      <c r="A8" s="159"/>
      <c r="B8" s="167"/>
      <c r="C8" s="31" t="s">
        <v>19</v>
      </c>
      <c r="D8" s="31" t="s">
        <v>418</v>
      </c>
      <c r="E8" s="31">
        <v>4</v>
      </c>
      <c r="F8" s="31">
        <f t="shared" si="0"/>
        <v>4</v>
      </c>
      <c r="G8" s="31"/>
      <c r="H8" s="31"/>
      <c r="I8" s="31"/>
      <c r="J8" s="31">
        <v>4</v>
      </c>
      <c r="K8" s="31"/>
      <c r="L8" s="31"/>
      <c r="M8" s="167"/>
      <c r="N8" s="167"/>
      <c r="O8" s="42" t="s">
        <v>17</v>
      </c>
    </row>
    <row r="9" spans="1:15" ht="16.5" customHeight="1">
      <c r="A9" s="159"/>
      <c r="B9" s="167"/>
      <c r="C9" s="31" t="s">
        <v>19</v>
      </c>
      <c r="D9" s="31" t="s">
        <v>419</v>
      </c>
      <c r="E9" s="31">
        <v>4</v>
      </c>
      <c r="F9" s="31">
        <f t="shared" si="0"/>
        <v>4</v>
      </c>
      <c r="G9" s="31"/>
      <c r="H9" s="31"/>
      <c r="I9" s="31"/>
      <c r="J9" s="31"/>
      <c r="K9" s="31">
        <v>4</v>
      </c>
      <c r="L9" s="31"/>
      <c r="M9" s="167"/>
      <c r="N9" s="167"/>
      <c r="O9" s="42" t="s">
        <v>17</v>
      </c>
    </row>
    <row r="10" spans="1:15" ht="16.5" customHeight="1">
      <c r="A10" s="159"/>
      <c r="B10" s="168"/>
      <c r="C10" s="31" t="s">
        <v>37</v>
      </c>
      <c r="D10" s="31" t="s">
        <v>429</v>
      </c>
      <c r="E10" s="31">
        <v>4</v>
      </c>
      <c r="F10" s="31">
        <f t="shared" si="0"/>
        <v>4</v>
      </c>
      <c r="G10" s="31"/>
      <c r="H10" s="31"/>
      <c r="I10" s="31"/>
      <c r="J10" s="31"/>
      <c r="K10" s="31"/>
      <c r="L10" s="31">
        <v>4</v>
      </c>
      <c r="M10" s="168"/>
      <c r="N10" s="167"/>
      <c r="O10" s="42" t="s">
        <v>17</v>
      </c>
    </row>
    <row r="11" spans="1:15" ht="16.5" customHeight="1">
      <c r="A11" s="159"/>
      <c r="B11" s="169" t="s">
        <v>20</v>
      </c>
      <c r="C11" s="31" t="s">
        <v>15</v>
      </c>
      <c r="D11" s="31" t="s">
        <v>21</v>
      </c>
      <c r="E11" s="31">
        <v>4</v>
      </c>
      <c r="F11" s="31">
        <f t="shared" si="0"/>
        <v>3</v>
      </c>
      <c r="G11" s="31">
        <v>3</v>
      </c>
      <c r="H11" s="31"/>
      <c r="I11" s="31"/>
      <c r="J11" s="31"/>
      <c r="K11" s="31"/>
      <c r="L11" s="31"/>
      <c r="M11" s="169">
        <f>SUM(G11:L16)</f>
        <v>22</v>
      </c>
      <c r="N11" s="167"/>
      <c r="O11" s="42" t="s">
        <v>17</v>
      </c>
    </row>
    <row r="12" spans="1:15" ht="16.5" customHeight="1">
      <c r="A12" s="159"/>
      <c r="B12" s="167"/>
      <c r="C12" s="31" t="s">
        <v>15</v>
      </c>
      <c r="D12" s="31" t="s">
        <v>22</v>
      </c>
      <c r="E12" s="31">
        <v>4</v>
      </c>
      <c r="F12" s="31">
        <f t="shared" si="0"/>
        <v>3</v>
      </c>
      <c r="G12" s="31"/>
      <c r="H12" s="31">
        <v>3</v>
      </c>
      <c r="I12" s="31"/>
      <c r="J12" s="31"/>
      <c r="K12" s="31"/>
      <c r="L12" s="31"/>
      <c r="M12" s="167"/>
      <c r="N12" s="167"/>
      <c r="O12" s="42" t="s">
        <v>17</v>
      </c>
    </row>
    <row r="13" spans="1:15" ht="16.5" customHeight="1">
      <c r="A13" s="159"/>
      <c r="B13" s="167"/>
      <c r="C13" s="31" t="s">
        <v>19</v>
      </c>
      <c r="D13" s="31" t="s">
        <v>420</v>
      </c>
      <c r="E13" s="31">
        <v>4</v>
      </c>
      <c r="F13" s="31">
        <f t="shared" si="0"/>
        <v>4</v>
      </c>
      <c r="G13" s="31"/>
      <c r="H13" s="31"/>
      <c r="I13" s="31">
        <v>4</v>
      </c>
      <c r="J13" s="31"/>
      <c r="K13" s="31"/>
      <c r="L13" s="31"/>
      <c r="M13" s="167"/>
      <c r="N13" s="167"/>
      <c r="O13" s="42" t="s">
        <v>17</v>
      </c>
    </row>
    <row r="14" spans="1:15" ht="16.5" customHeight="1">
      <c r="A14" s="159"/>
      <c r="B14" s="167"/>
      <c r="C14" s="31" t="s">
        <v>19</v>
      </c>
      <c r="D14" s="31" t="s">
        <v>454</v>
      </c>
      <c r="E14" s="31">
        <v>4</v>
      </c>
      <c r="F14" s="31">
        <f t="shared" si="0"/>
        <v>4</v>
      </c>
      <c r="G14" s="31"/>
      <c r="H14" s="31"/>
      <c r="I14" s="31"/>
      <c r="J14" s="31">
        <v>4</v>
      </c>
      <c r="K14" s="31"/>
      <c r="L14" s="31"/>
      <c r="M14" s="167"/>
      <c r="N14" s="167"/>
      <c r="O14" s="42" t="s">
        <v>17</v>
      </c>
    </row>
    <row r="15" spans="1:15" ht="16.5" customHeight="1">
      <c r="A15" s="159"/>
      <c r="B15" s="167"/>
      <c r="C15" s="31" t="s">
        <v>19</v>
      </c>
      <c r="D15" s="31" t="s">
        <v>421</v>
      </c>
      <c r="E15" s="31">
        <v>4</v>
      </c>
      <c r="F15" s="31">
        <f t="shared" si="0"/>
        <v>4</v>
      </c>
      <c r="G15" s="31"/>
      <c r="H15" s="31"/>
      <c r="I15" s="31"/>
      <c r="J15" s="31"/>
      <c r="K15" s="31">
        <v>4</v>
      </c>
      <c r="L15" s="31"/>
      <c r="M15" s="167"/>
      <c r="N15" s="167"/>
      <c r="O15" s="42" t="s">
        <v>17</v>
      </c>
    </row>
    <row r="16" spans="1:15" ht="16.5" customHeight="1">
      <c r="A16" s="159"/>
      <c r="B16" s="168"/>
      <c r="C16" s="31" t="s">
        <v>38</v>
      </c>
      <c r="D16" s="31" t="s">
        <v>455</v>
      </c>
      <c r="E16" s="31">
        <v>4</v>
      </c>
      <c r="F16" s="31">
        <f t="shared" si="0"/>
        <v>4</v>
      </c>
      <c r="G16" s="31"/>
      <c r="H16" s="31"/>
      <c r="I16" s="31"/>
      <c r="J16" s="31"/>
      <c r="K16" s="31"/>
      <c r="L16" s="31">
        <v>4</v>
      </c>
      <c r="M16" s="168"/>
      <c r="N16" s="167"/>
      <c r="O16" s="42" t="s">
        <v>17</v>
      </c>
    </row>
    <row r="17" spans="1:15" ht="16.5" customHeight="1">
      <c r="A17" s="159"/>
      <c r="B17" s="169" t="s">
        <v>23</v>
      </c>
      <c r="C17" s="31" t="s">
        <v>15</v>
      </c>
      <c r="D17" s="31" t="s">
        <v>24</v>
      </c>
      <c r="E17" s="31">
        <v>4</v>
      </c>
      <c r="F17" s="31">
        <f t="shared" si="0"/>
        <v>3</v>
      </c>
      <c r="G17" s="31">
        <v>3</v>
      </c>
      <c r="H17" s="31"/>
      <c r="I17" s="31"/>
      <c r="J17" s="31"/>
      <c r="K17" s="31"/>
      <c r="L17" s="31"/>
      <c r="M17" s="169">
        <f>SUM(G17:L22)</f>
        <v>22</v>
      </c>
      <c r="N17" s="167"/>
      <c r="O17" s="42" t="s">
        <v>17</v>
      </c>
    </row>
    <row r="18" spans="1:15" ht="16.5" customHeight="1">
      <c r="A18" s="159"/>
      <c r="B18" s="167"/>
      <c r="C18" s="31" t="s">
        <v>15</v>
      </c>
      <c r="D18" s="31" t="s">
        <v>25</v>
      </c>
      <c r="E18" s="31">
        <v>4</v>
      </c>
      <c r="F18" s="31">
        <f t="shared" si="0"/>
        <v>3</v>
      </c>
      <c r="G18" s="31"/>
      <c r="H18" s="31">
        <v>3</v>
      </c>
      <c r="I18" s="31"/>
      <c r="J18" s="31"/>
      <c r="K18" s="31"/>
      <c r="L18" s="31"/>
      <c r="M18" s="167"/>
      <c r="N18" s="167"/>
      <c r="O18" s="42" t="s">
        <v>17</v>
      </c>
    </row>
    <row r="19" spans="1:15" ht="16.5" customHeight="1">
      <c r="A19" s="159"/>
      <c r="B19" s="167"/>
      <c r="C19" s="31" t="s">
        <v>19</v>
      </c>
      <c r="D19" s="31" t="s">
        <v>422</v>
      </c>
      <c r="E19" s="31">
        <v>4</v>
      </c>
      <c r="F19" s="31">
        <f t="shared" si="0"/>
        <v>4</v>
      </c>
      <c r="G19" s="31"/>
      <c r="H19" s="31"/>
      <c r="I19" s="31">
        <v>4</v>
      </c>
      <c r="J19" s="31"/>
      <c r="K19" s="31"/>
      <c r="L19" s="31"/>
      <c r="M19" s="167"/>
      <c r="N19" s="167"/>
      <c r="O19" s="42" t="s">
        <v>17</v>
      </c>
    </row>
    <row r="20" spans="1:15" ht="16.5" customHeight="1">
      <c r="A20" s="159"/>
      <c r="B20" s="167"/>
      <c r="C20" s="31" t="s">
        <v>19</v>
      </c>
      <c r="D20" s="31" t="s">
        <v>423</v>
      </c>
      <c r="E20" s="31">
        <v>4</v>
      </c>
      <c r="F20" s="31">
        <f t="shared" si="0"/>
        <v>4</v>
      </c>
      <c r="G20" s="31"/>
      <c r="H20" s="31"/>
      <c r="I20" s="31"/>
      <c r="J20" s="31">
        <v>4</v>
      </c>
      <c r="K20" s="31"/>
      <c r="L20" s="31"/>
      <c r="M20" s="167"/>
      <c r="N20" s="167"/>
      <c r="O20" s="42" t="s">
        <v>17</v>
      </c>
    </row>
    <row r="21" spans="1:15" ht="16.5" customHeight="1">
      <c r="A21" s="159"/>
      <c r="B21" s="167"/>
      <c r="C21" s="31" t="s">
        <v>19</v>
      </c>
      <c r="D21" s="31" t="s">
        <v>430</v>
      </c>
      <c r="E21" s="31">
        <v>4</v>
      </c>
      <c r="F21" s="31">
        <f t="shared" si="0"/>
        <v>4</v>
      </c>
      <c r="G21" s="31"/>
      <c r="H21" s="31"/>
      <c r="I21" s="31"/>
      <c r="J21" s="31"/>
      <c r="K21" s="31">
        <v>4</v>
      </c>
      <c r="L21" s="31"/>
      <c r="M21" s="167"/>
      <c r="N21" s="167"/>
      <c r="O21" s="42" t="s">
        <v>17</v>
      </c>
    </row>
    <row r="22" spans="1:15" ht="16.5" customHeight="1">
      <c r="A22" s="159"/>
      <c r="B22" s="168"/>
      <c r="C22" s="31" t="s">
        <v>37</v>
      </c>
      <c r="D22" s="31" t="s">
        <v>456</v>
      </c>
      <c r="E22" s="31">
        <v>4</v>
      </c>
      <c r="F22" s="31">
        <f t="shared" si="0"/>
        <v>4</v>
      </c>
      <c r="G22" s="31"/>
      <c r="H22" s="31"/>
      <c r="I22" s="31"/>
      <c r="J22" s="31"/>
      <c r="K22" s="31"/>
      <c r="L22" s="31">
        <v>4</v>
      </c>
      <c r="M22" s="168"/>
      <c r="N22" s="168"/>
      <c r="O22" s="42" t="s">
        <v>17</v>
      </c>
    </row>
    <row r="23" spans="1:15" ht="16.5" customHeight="1">
      <c r="A23" s="159"/>
      <c r="B23" s="169" t="s">
        <v>424</v>
      </c>
      <c r="C23" s="31" t="s">
        <v>15</v>
      </c>
      <c r="D23" s="31" t="s">
        <v>26</v>
      </c>
      <c r="E23" s="31">
        <v>3</v>
      </c>
      <c r="F23" s="31">
        <f t="shared" si="0"/>
        <v>3</v>
      </c>
      <c r="G23" s="31">
        <v>3</v>
      </c>
      <c r="H23" s="31"/>
      <c r="I23" s="31"/>
      <c r="J23" s="31"/>
      <c r="K23" s="31"/>
      <c r="L23" s="31"/>
      <c r="M23" s="190">
        <f>SUM(G23:L24)</f>
        <v>6</v>
      </c>
      <c r="N23" s="191"/>
      <c r="O23" s="42" t="s">
        <v>17</v>
      </c>
    </row>
    <row r="24" spans="1:15" ht="16.5" customHeight="1">
      <c r="A24" s="159"/>
      <c r="B24" s="167"/>
      <c r="C24" s="31" t="s">
        <v>15</v>
      </c>
      <c r="D24" s="31" t="s">
        <v>27</v>
      </c>
      <c r="E24" s="31">
        <v>3</v>
      </c>
      <c r="F24" s="31">
        <f t="shared" si="0"/>
        <v>3</v>
      </c>
      <c r="G24" s="31"/>
      <c r="H24" s="31">
        <v>3</v>
      </c>
      <c r="I24" s="31"/>
      <c r="J24" s="31"/>
      <c r="K24" s="31"/>
      <c r="L24" s="31"/>
      <c r="M24" s="198"/>
      <c r="N24" s="199"/>
      <c r="O24" s="42" t="s">
        <v>17</v>
      </c>
    </row>
    <row r="25" spans="1:15" ht="16.5" customHeight="1">
      <c r="A25" s="159"/>
      <c r="B25" s="167"/>
      <c r="C25" s="31" t="s">
        <v>15</v>
      </c>
      <c r="D25" s="31" t="s">
        <v>28</v>
      </c>
      <c r="E25" s="31">
        <v>4</v>
      </c>
      <c r="F25" s="31">
        <f t="shared" si="0"/>
        <v>4</v>
      </c>
      <c r="G25" s="31">
        <v>4</v>
      </c>
      <c r="H25" s="31"/>
      <c r="I25" s="31"/>
      <c r="J25" s="31"/>
      <c r="K25" s="31"/>
      <c r="L25" s="31"/>
      <c r="M25" s="190">
        <f>SUM(G25:L28)</f>
        <v>16</v>
      </c>
      <c r="N25" s="191"/>
      <c r="O25" s="42" t="s">
        <v>17</v>
      </c>
    </row>
    <row r="26" spans="1:15" ht="16.5" customHeight="1">
      <c r="A26" s="159"/>
      <c r="B26" s="168"/>
      <c r="C26" s="31" t="s">
        <v>15</v>
      </c>
      <c r="D26" s="31" t="s">
        <v>29</v>
      </c>
      <c r="E26" s="31">
        <v>4</v>
      </c>
      <c r="F26" s="31">
        <f t="shared" si="0"/>
        <v>4</v>
      </c>
      <c r="G26" s="31"/>
      <c r="H26" s="31">
        <v>4</v>
      </c>
      <c r="I26" s="31"/>
      <c r="J26" s="31"/>
      <c r="K26" s="31"/>
      <c r="L26" s="31"/>
      <c r="M26" s="198"/>
      <c r="N26" s="199"/>
      <c r="O26" s="42" t="s">
        <v>17</v>
      </c>
    </row>
    <row r="27" spans="1:15" ht="16.5" customHeight="1">
      <c r="A27" s="159"/>
      <c r="B27" s="169" t="s">
        <v>425</v>
      </c>
      <c r="C27" s="31" t="s">
        <v>15</v>
      </c>
      <c r="D27" s="31" t="s">
        <v>30</v>
      </c>
      <c r="E27" s="31">
        <v>4</v>
      </c>
      <c r="F27" s="31">
        <f t="shared" si="0"/>
        <v>4</v>
      </c>
      <c r="G27" s="31">
        <v>4</v>
      </c>
      <c r="H27" s="31"/>
      <c r="I27" s="31"/>
      <c r="J27" s="31"/>
      <c r="K27" s="31"/>
      <c r="L27" s="31"/>
      <c r="M27" s="190">
        <f>SUM(G29:L37)</f>
        <v>18</v>
      </c>
      <c r="N27" s="191"/>
      <c r="O27" s="42" t="s">
        <v>17</v>
      </c>
    </row>
    <row r="28" spans="1:15" ht="16.5" customHeight="1">
      <c r="A28" s="159"/>
      <c r="B28" s="167"/>
      <c r="C28" s="31" t="s">
        <v>15</v>
      </c>
      <c r="D28" s="31" t="s">
        <v>608</v>
      </c>
      <c r="E28" s="31">
        <v>4</v>
      </c>
      <c r="F28" s="31">
        <f t="shared" si="0"/>
        <v>4</v>
      </c>
      <c r="G28" s="31"/>
      <c r="H28" s="31">
        <v>4</v>
      </c>
      <c r="I28" s="31"/>
      <c r="J28" s="31"/>
      <c r="K28" s="31"/>
      <c r="L28" s="31"/>
      <c r="M28" s="196"/>
      <c r="N28" s="197"/>
      <c r="O28" s="42" t="s">
        <v>17</v>
      </c>
    </row>
    <row r="29" spans="1:15" ht="16.5" customHeight="1">
      <c r="A29" s="159"/>
      <c r="B29" s="167"/>
      <c r="C29" s="31" t="s">
        <v>15</v>
      </c>
      <c r="D29" s="31" t="s">
        <v>609</v>
      </c>
      <c r="E29" s="31">
        <v>1</v>
      </c>
      <c r="F29" s="31">
        <f t="shared" si="0"/>
        <v>1</v>
      </c>
      <c r="G29" s="31">
        <v>1</v>
      </c>
      <c r="H29" s="31"/>
      <c r="I29" s="31"/>
      <c r="J29" s="31"/>
      <c r="K29" s="31"/>
      <c r="L29" s="31"/>
      <c r="M29" s="196"/>
      <c r="N29" s="197"/>
      <c r="O29" s="42" t="s">
        <v>33</v>
      </c>
    </row>
    <row r="30" spans="1:15" ht="16.5" customHeight="1">
      <c r="A30" s="159"/>
      <c r="B30" s="168"/>
      <c r="C30" s="31" t="s">
        <v>15</v>
      </c>
      <c r="D30" s="31" t="s">
        <v>34</v>
      </c>
      <c r="E30" s="31">
        <v>1</v>
      </c>
      <c r="F30" s="31">
        <f t="shared" si="0"/>
        <v>1</v>
      </c>
      <c r="G30" s="31"/>
      <c r="H30" s="31">
        <v>1</v>
      </c>
      <c r="I30" s="31"/>
      <c r="J30" s="31"/>
      <c r="K30" s="31"/>
      <c r="L30" s="31"/>
      <c r="M30" s="198"/>
      <c r="N30" s="199"/>
      <c r="O30" s="42" t="s">
        <v>33</v>
      </c>
    </row>
    <row r="31" spans="1:15" ht="16.5" customHeight="1">
      <c r="A31" s="159"/>
      <c r="B31" s="170" t="s">
        <v>426</v>
      </c>
      <c r="C31" s="31" t="s">
        <v>19</v>
      </c>
      <c r="D31" s="31" t="s">
        <v>35</v>
      </c>
      <c r="E31" s="31">
        <v>3</v>
      </c>
      <c r="F31" s="31">
        <f t="shared" si="0"/>
        <v>2</v>
      </c>
      <c r="G31" s="31">
        <v>2</v>
      </c>
      <c r="H31" s="31"/>
      <c r="I31" s="31"/>
      <c r="J31" s="31"/>
      <c r="K31" s="31"/>
      <c r="L31" s="31"/>
      <c r="M31" s="200">
        <f>SUM(G31:L36)</f>
        <v>10</v>
      </c>
      <c r="N31" s="201"/>
      <c r="O31" s="42" t="s">
        <v>33</v>
      </c>
    </row>
    <row r="32" spans="1:15" ht="16.5" customHeight="1">
      <c r="A32" s="159"/>
      <c r="B32" s="171"/>
      <c r="C32" s="31" t="s">
        <v>19</v>
      </c>
      <c r="D32" s="31" t="s">
        <v>36</v>
      </c>
      <c r="E32" s="31">
        <v>3</v>
      </c>
      <c r="F32" s="31">
        <f t="shared" si="0"/>
        <v>2</v>
      </c>
      <c r="G32" s="31"/>
      <c r="H32" s="31">
        <v>2</v>
      </c>
      <c r="I32" s="31"/>
      <c r="J32" s="31"/>
      <c r="K32" s="31"/>
      <c r="L32" s="31"/>
      <c r="M32" s="202"/>
      <c r="N32" s="203"/>
      <c r="O32" s="42" t="s">
        <v>33</v>
      </c>
    </row>
    <row r="33" spans="1:15" ht="16.5" customHeight="1">
      <c r="A33" s="159"/>
      <c r="B33" s="171"/>
      <c r="C33" s="31" t="s">
        <v>38</v>
      </c>
      <c r="D33" s="31" t="s">
        <v>499</v>
      </c>
      <c r="E33" s="31">
        <v>3</v>
      </c>
      <c r="F33" s="31">
        <f t="shared" si="0"/>
        <v>2</v>
      </c>
      <c r="G33" s="31"/>
      <c r="H33" s="31"/>
      <c r="I33" s="31">
        <v>2</v>
      </c>
      <c r="J33" s="31"/>
      <c r="K33" s="31"/>
      <c r="L33" s="31"/>
      <c r="M33" s="202"/>
      <c r="N33" s="203"/>
      <c r="O33" s="42" t="s">
        <v>33</v>
      </c>
    </row>
    <row r="34" spans="1:15" ht="16.5" customHeight="1">
      <c r="A34" s="159"/>
      <c r="B34" s="171"/>
      <c r="C34" s="31" t="s">
        <v>38</v>
      </c>
      <c r="D34" s="31" t="s">
        <v>457</v>
      </c>
      <c r="E34" s="31">
        <v>3</v>
      </c>
      <c r="F34" s="31">
        <f t="shared" si="0"/>
        <v>2</v>
      </c>
      <c r="G34" s="31"/>
      <c r="H34" s="31"/>
      <c r="I34" s="31"/>
      <c r="J34" s="31">
        <v>2</v>
      </c>
      <c r="K34" s="31"/>
      <c r="L34" s="31"/>
      <c r="M34" s="202"/>
      <c r="N34" s="203"/>
      <c r="O34" s="42" t="s">
        <v>33</v>
      </c>
    </row>
    <row r="35" spans="1:15" ht="16.5" customHeight="1">
      <c r="A35" s="159"/>
      <c r="B35" s="171"/>
      <c r="C35" s="31" t="s">
        <v>37</v>
      </c>
      <c r="D35" s="31" t="s">
        <v>458</v>
      </c>
      <c r="E35" s="31">
        <v>2</v>
      </c>
      <c r="F35" s="31">
        <f t="shared" si="0"/>
        <v>1</v>
      </c>
      <c r="G35" s="31"/>
      <c r="H35" s="31"/>
      <c r="I35" s="31"/>
      <c r="J35" s="31"/>
      <c r="K35" s="31">
        <v>1</v>
      </c>
      <c r="L35" s="31"/>
      <c r="M35" s="202"/>
      <c r="N35" s="203"/>
      <c r="O35" s="42" t="s">
        <v>33</v>
      </c>
    </row>
    <row r="36" spans="1:15" ht="16.5" customHeight="1">
      <c r="A36" s="159"/>
      <c r="B36" s="172"/>
      <c r="C36" s="31" t="s">
        <v>37</v>
      </c>
      <c r="D36" s="31" t="s">
        <v>459</v>
      </c>
      <c r="E36" s="31">
        <v>2</v>
      </c>
      <c r="F36" s="31">
        <f t="shared" si="0"/>
        <v>1</v>
      </c>
      <c r="G36" s="31"/>
      <c r="H36" s="31"/>
      <c r="I36" s="31"/>
      <c r="J36" s="31"/>
      <c r="K36" s="31"/>
      <c r="L36" s="31">
        <v>1</v>
      </c>
      <c r="M36" s="204"/>
      <c r="N36" s="205"/>
      <c r="O36" s="42" t="s">
        <v>33</v>
      </c>
    </row>
    <row r="37" spans="1:15" ht="16.5" customHeight="1">
      <c r="A37" s="159"/>
      <c r="B37" s="169" t="s">
        <v>427</v>
      </c>
      <c r="C37" s="31" t="s">
        <v>19</v>
      </c>
      <c r="D37" s="169" t="s">
        <v>428</v>
      </c>
      <c r="E37" s="31">
        <v>3</v>
      </c>
      <c r="F37" s="31">
        <v>3</v>
      </c>
      <c r="G37" s="169">
        <v>3</v>
      </c>
      <c r="H37" s="169">
        <v>3</v>
      </c>
      <c r="I37" s="31"/>
      <c r="J37" s="31"/>
      <c r="K37" s="31"/>
      <c r="L37" s="31"/>
      <c r="M37" s="190">
        <f>SUM(G37:L40)</f>
        <v>10</v>
      </c>
      <c r="N37" s="191"/>
      <c r="O37" s="42" t="s">
        <v>33</v>
      </c>
    </row>
    <row r="38" spans="1:15" ht="16.5" customHeight="1">
      <c r="A38" s="159"/>
      <c r="B38" s="167"/>
      <c r="C38" s="31" t="s">
        <v>19</v>
      </c>
      <c r="D38" s="168"/>
      <c r="E38" s="31">
        <v>3</v>
      </c>
      <c r="F38" s="31">
        <v>3</v>
      </c>
      <c r="G38" s="168"/>
      <c r="H38" s="168"/>
      <c r="I38" s="31"/>
      <c r="J38" s="31"/>
      <c r="K38" s="31"/>
      <c r="L38" s="31"/>
      <c r="M38" s="196"/>
      <c r="N38" s="197"/>
      <c r="O38" s="42" t="s">
        <v>33</v>
      </c>
    </row>
    <row r="39" spans="1:15" ht="16.5" customHeight="1">
      <c r="A39" s="159"/>
      <c r="B39" s="167"/>
      <c r="C39" s="31" t="s">
        <v>37</v>
      </c>
      <c r="D39" s="169" t="s">
        <v>498</v>
      </c>
      <c r="E39" s="31">
        <v>3</v>
      </c>
      <c r="F39" s="31">
        <v>2</v>
      </c>
      <c r="G39" s="31"/>
      <c r="H39" s="31"/>
      <c r="I39" s="31"/>
      <c r="J39" s="31"/>
      <c r="K39" s="169">
        <v>2</v>
      </c>
      <c r="L39" s="169">
        <v>2</v>
      </c>
      <c r="M39" s="196"/>
      <c r="N39" s="197"/>
      <c r="O39" s="42" t="s">
        <v>33</v>
      </c>
    </row>
    <row r="40" spans="1:15" ht="16.5" customHeight="1">
      <c r="A40" s="159"/>
      <c r="B40" s="168"/>
      <c r="C40" s="31" t="s">
        <v>37</v>
      </c>
      <c r="D40" s="168"/>
      <c r="E40" s="31">
        <v>3</v>
      </c>
      <c r="F40" s="31">
        <v>2</v>
      </c>
      <c r="G40" s="31"/>
      <c r="H40" s="31"/>
      <c r="I40" s="31"/>
      <c r="J40" s="31"/>
      <c r="K40" s="168"/>
      <c r="L40" s="168"/>
      <c r="M40" s="198"/>
      <c r="N40" s="199"/>
      <c r="O40" s="42" t="s">
        <v>33</v>
      </c>
    </row>
    <row r="41" spans="1:15" ht="16.5" customHeight="1">
      <c r="A41" s="159"/>
      <c r="B41" s="169" t="s">
        <v>40</v>
      </c>
      <c r="C41" s="31" t="s">
        <v>19</v>
      </c>
      <c r="D41" s="31" t="s">
        <v>40</v>
      </c>
      <c r="E41" s="31">
        <v>4</v>
      </c>
      <c r="F41" s="31">
        <f t="shared" si="0"/>
        <v>3</v>
      </c>
      <c r="G41" s="31">
        <v>3</v>
      </c>
      <c r="H41" s="31"/>
      <c r="I41" s="31"/>
      <c r="J41" s="31"/>
      <c r="K41" s="31"/>
      <c r="L41" s="31"/>
      <c r="M41" s="190">
        <f>SUM(G41:L42)</f>
        <v>6</v>
      </c>
      <c r="N41" s="191"/>
      <c r="O41" s="42" t="s">
        <v>17</v>
      </c>
    </row>
    <row r="42" spans="1:15" ht="16.5" customHeight="1" thickBot="1">
      <c r="A42" s="159"/>
      <c r="B42" s="167"/>
      <c r="C42" s="75" t="s">
        <v>37</v>
      </c>
      <c r="D42" s="75" t="s">
        <v>460</v>
      </c>
      <c r="E42" s="75">
        <v>4</v>
      </c>
      <c r="F42" s="75">
        <f t="shared" si="0"/>
        <v>3</v>
      </c>
      <c r="G42" s="75"/>
      <c r="H42" s="75">
        <v>3</v>
      </c>
      <c r="I42" s="75"/>
      <c r="J42" s="75"/>
      <c r="K42" s="75"/>
      <c r="L42" s="75"/>
      <c r="M42" s="196"/>
      <c r="N42" s="197"/>
      <c r="O42" s="76" t="s">
        <v>17</v>
      </c>
    </row>
    <row r="43" spans="1:15" ht="16.5" customHeight="1" thickBot="1">
      <c r="A43" s="206" t="s">
        <v>606</v>
      </c>
      <c r="B43" s="207"/>
      <c r="C43" s="207"/>
      <c r="D43" s="207"/>
      <c r="E43" s="32"/>
      <c r="F43" s="32"/>
      <c r="G43" s="32">
        <f t="shared" ref="G43:L43" si="1">SUM(G5:G42)</f>
        <v>29</v>
      </c>
      <c r="H43" s="32">
        <f t="shared" si="1"/>
        <v>29</v>
      </c>
      <c r="I43" s="32">
        <f t="shared" si="1"/>
        <v>14</v>
      </c>
      <c r="J43" s="32">
        <f t="shared" si="1"/>
        <v>14</v>
      </c>
      <c r="K43" s="32">
        <f t="shared" si="1"/>
        <v>15</v>
      </c>
      <c r="L43" s="32">
        <f t="shared" si="1"/>
        <v>15</v>
      </c>
      <c r="M43" s="194">
        <f>SUM(G43:L43)</f>
        <v>116</v>
      </c>
      <c r="N43" s="195"/>
      <c r="O43" s="43"/>
    </row>
    <row r="44" spans="1:15" ht="16.5" customHeight="1">
      <c r="A44" s="159" t="s">
        <v>41</v>
      </c>
      <c r="B44" s="116" t="s">
        <v>424</v>
      </c>
      <c r="C44" s="74" t="s">
        <v>19</v>
      </c>
      <c r="D44" s="63" t="s">
        <v>433</v>
      </c>
      <c r="E44" s="63">
        <v>4</v>
      </c>
      <c r="F44" s="74">
        <f t="shared" ref="F44:F99" si="2">IF(SUM(G44:L44)&lt;&gt;0,SUM(G44:L44),F43)</f>
        <v>3</v>
      </c>
      <c r="G44" s="63"/>
      <c r="H44" s="63"/>
      <c r="I44" s="62">
        <v>3</v>
      </c>
      <c r="J44" s="63"/>
      <c r="K44" s="63"/>
      <c r="L44" s="63"/>
      <c r="M44" s="182">
        <f>SUM(G44:L52)</f>
        <v>12</v>
      </c>
      <c r="N44" s="183"/>
      <c r="O44" s="77" t="s">
        <v>17</v>
      </c>
    </row>
    <row r="45" spans="1:15" ht="16.5" customHeight="1">
      <c r="A45" s="159"/>
      <c r="B45" s="116"/>
      <c r="C45" s="31" t="s">
        <v>19</v>
      </c>
      <c r="D45" s="33" t="s">
        <v>449</v>
      </c>
      <c r="E45" s="33">
        <v>4</v>
      </c>
      <c r="F45" s="31">
        <f t="shared" si="2"/>
        <v>3</v>
      </c>
      <c r="G45" s="33"/>
      <c r="H45" s="33"/>
      <c r="I45" s="34">
        <v>3</v>
      </c>
      <c r="J45" s="33"/>
      <c r="K45" s="33"/>
      <c r="L45" s="33"/>
      <c r="M45" s="182"/>
      <c r="N45" s="183"/>
      <c r="O45" s="42" t="s">
        <v>17</v>
      </c>
    </row>
    <row r="46" spans="1:15" ht="16.5" customHeight="1">
      <c r="A46" s="159"/>
      <c r="B46" s="116"/>
      <c r="C46" s="31" t="s">
        <v>19</v>
      </c>
      <c r="D46" s="33" t="s">
        <v>432</v>
      </c>
      <c r="E46" s="33">
        <v>4</v>
      </c>
      <c r="F46" s="31">
        <f t="shared" si="2"/>
        <v>3</v>
      </c>
      <c r="G46" s="33"/>
      <c r="H46" s="33"/>
      <c r="I46" s="34">
        <v>3</v>
      </c>
      <c r="J46" s="33"/>
      <c r="K46" s="33"/>
      <c r="L46" s="33"/>
      <c r="M46" s="182"/>
      <c r="N46" s="183"/>
      <c r="O46" s="42" t="s">
        <v>17</v>
      </c>
    </row>
    <row r="47" spans="1:15" ht="16.5" customHeight="1">
      <c r="A47" s="159"/>
      <c r="B47" s="116"/>
      <c r="C47" s="31" t="s">
        <v>19</v>
      </c>
      <c r="D47" s="33" t="s">
        <v>431</v>
      </c>
      <c r="E47" s="33">
        <v>4</v>
      </c>
      <c r="F47" s="31">
        <f t="shared" si="2"/>
        <v>3</v>
      </c>
      <c r="G47" s="33"/>
      <c r="H47" s="33"/>
      <c r="I47" s="34">
        <v>3</v>
      </c>
      <c r="J47" s="33"/>
      <c r="K47" s="33"/>
      <c r="L47" s="33"/>
      <c r="M47" s="182"/>
      <c r="N47" s="183"/>
      <c r="O47" s="42" t="s">
        <v>17</v>
      </c>
    </row>
    <row r="48" spans="1:15" ht="16.5" customHeight="1">
      <c r="A48" s="159"/>
      <c r="B48" s="115"/>
      <c r="C48" s="31" t="s">
        <v>37</v>
      </c>
      <c r="D48" s="33" t="s">
        <v>461</v>
      </c>
      <c r="E48" s="33">
        <v>4</v>
      </c>
      <c r="F48" s="31">
        <f t="shared" si="2"/>
        <v>3</v>
      </c>
      <c r="G48" s="33"/>
      <c r="H48" s="33"/>
      <c r="I48" s="34"/>
      <c r="J48" s="33"/>
      <c r="K48" s="33"/>
      <c r="L48" s="33"/>
      <c r="M48" s="182"/>
      <c r="N48" s="183"/>
      <c r="O48" s="42" t="s">
        <v>17</v>
      </c>
    </row>
    <row r="49" spans="1:15" ht="16.5" customHeight="1">
      <c r="A49" s="159"/>
      <c r="B49" s="162" t="s">
        <v>505</v>
      </c>
      <c r="C49" s="31" t="s">
        <v>19</v>
      </c>
      <c r="D49" s="50" t="s">
        <v>434</v>
      </c>
      <c r="E49" s="33">
        <v>4</v>
      </c>
      <c r="F49" s="31">
        <f t="shared" si="2"/>
        <v>3</v>
      </c>
      <c r="G49" s="33"/>
      <c r="H49" s="33"/>
      <c r="I49" s="34"/>
      <c r="J49" s="33"/>
      <c r="K49" s="33"/>
      <c r="L49" s="33"/>
      <c r="M49" s="182"/>
      <c r="N49" s="183"/>
      <c r="O49" s="42" t="s">
        <v>17</v>
      </c>
    </row>
    <row r="50" spans="1:15" ht="16.5" customHeight="1">
      <c r="A50" s="159"/>
      <c r="B50" s="163"/>
      <c r="C50" s="31" t="s">
        <v>19</v>
      </c>
      <c r="D50" s="50" t="s">
        <v>435</v>
      </c>
      <c r="E50" s="33">
        <v>4</v>
      </c>
      <c r="F50" s="31">
        <f t="shared" si="2"/>
        <v>3</v>
      </c>
      <c r="G50" s="33"/>
      <c r="H50" s="33"/>
      <c r="I50" s="34"/>
      <c r="J50" s="33"/>
      <c r="K50" s="33"/>
      <c r="L50" s="33"/>
      <c r="M50" s="182"/>
      <c r="N50" s="183"/>
      <c r="O50" s="42" t="s">
        <v>17</v>
      </c>
    </row>
    <row r="51" spans="1:15" ht="16.5" customHeight="1">
      <c r="A51" s="159"/>
      <c r="B51" s="163"/>
      <c r="C51" s="31" t="s">
        <v>19</v>
      </c>
      <c r="D51" s="50" t="s">
        <v>436</v>
      </c>
      <c r="E51" s="33">
        <v>4</v>
      </c>
      <c r="F51" s="31">
        <f t="shared" si="2"/>
        <v>3</v>
      </c>
      <c r="G51" s="33"/>
      <c r="H51" s="33"/>
      <c r="I51" s="34"/>
      <c r="J51" s="33"/>
      <c r="K51" s="33"/>
      <c r="L51" s="33"/>
      <c r="M51" s="182"/>
      <c r="N51" s="183"/>
      <c r="O51" s="42" t="s">
        <v>17</v>
      </c>
    </row>
    <row r="52" spans="1:15" ht="16.5" customHeight="1">
      <c r="A52" s="160"/>
      <c r="B52" s="164"/>
      <c r="C52" s="31" t="s">
        <v>19</v>
      </c>
      <c r="D52" s="50" t="s">
        <v>437</v>
      </c>
      <c r="E52" s="33">
        <v>4</v>
      </c>
      <c r="F52" s="31">
        <f t="shared" si="2"/>
        <v>3</v>
      </c>
      <c r="G52" s="33"/>
      <c r="H52" s="33"/>
      <c r="I52" s="33"/>
      <c r="J52" s="33"/>
      <c r="K52" s="33"/>
      <c r="L52" s="33"/>
      <c r="M52" s="184"/>
      <c r="N52" s="185"/>
      <c r="O52" s="42" t="s">
        <v>17</v>
      </c>
    </row>
    <row r="53" spans="1:15" ht="16.5" customHeight="1">
      <c r="A53" s="158" t="s">
        <v>42</v>
      </c>
      <c r="B53" s="33" t="s">
        <v>20</v>
      </c>
      <c r="C53" s="31" t="s">
        <v>37</v>
      </c>
      <c r="D53" s="33" t="s">
        <v>447</v>
      </c>
      <c r="E53" s="33">
        <v>4</v>
      </c>
      <c r="F53" s="31">
        <f t="shared" si="2"/>
        <v>3</v>
      </c>
      <c r="G53" s="33"/>
      <c r="H53" s="33"/>
      <c r="I53" s="33"/>
      <c r="J53" s="34">
        <v>3</v>
      </c>
      <c r="K53" s="33"/>
      <c r="L53" s="33"/>
      <c r="M53" s="186">
        <f>SUM(G53:L62)</f>
        <v>12</v>
      </c>
      <c r="N53" s="187"/>
      <c r="O53" s="42" t="s">
        <v>17</v>
      </c>
    </row>
    <row r="54" spans="1:15" ht="16.5" customHeight="1">
      <c r="A54" s="159"/>
      <c r="B54" s="162" t="s">
        <v>506</v>
      </c>
      <c r="C54" s="31" t="s">
        <v>37</v>
      </c>
      <c r="D54" s="33" t="s">
        <v>462</v>
      </c>
      <c r="E54" s="33">
        <v>4</v>
      </c>
      <c r="F54" s="31">
        <f t="shared" si="2"/>
        <v>3</v>
      </c>
      <c r="G54" s="33"/>
      <c r="H54" s="33"/>
      <c r="I54" s="33"/>
      <c r="J54" s="34">
        <v>3</v>
      </c>
      <c r="K54" s="33"/>
      <c r="L54" s="33"/>
      <c r="M54" s="182"/>
      <c r="N54" s="183"/>
      <c r="O54" s="42" t="s">
        <v>17</v>
      </c>
    </row>
    <row r="55" spans="1:15" ht="16.5" customHeight="1">
      <c r="A55" s="159"/>
      <c r="B55" s="163"/>
      <c r="C55" s="31" t="s">
        <v>37</v>
      </c>
      <c r="D55" s="33" t="s">
        <v>463</v>
      </c>
      <c r="E55" s="33">
        <v>4</v>
      </c>
      <c r="F55" s="31">
        <f t="shared" si="2"/>
        <v>3</v>
      </c>
      <c r="G55" s="33"/>
      <c r="H55" s="33"/>
      <c r="I55" s="33"/>
      <c r="J55" s="34">
        <v>3</v>
      </c>
      <c r="K55" s="33"/>
      <c r="L55" s="33"/>
      <c r="M55" s="182"/>
      <c r="N55" s="183"/>
      <c r="O55" s="42" t="s">
        <v>17</v>
      </c>
    </row>
    <row r="56" spans="1:15" ht="16.5" customHeight="1">
      <c r="A56" s="159"/>
      <c r="B56" s="163"/>
      <c r="C56" s="31" t="s">
        <v>37</v>
      </c>
      <c r="D56" s="33" t="s">
        <v>464</v>
      </c>
      <c r="E56" s="33">
        <v>4</v>
      </c>
      <c r="F56" s="31">
        <f t="shared" si="2"/>
        <v>3</v>
      </c>
      <c r="G56" s="33"/>
      <c r="H56" s="33"/>
      <c r="I56" s="33"/>
      <c r="J56" s="34">
        <v>3</v>
      </c>
      <c r="K56" s="33"/>
      <c r="L56" s="33"/>
      <c r="M56" s="182"/>
      <c r="N56" s="183"/>
      <c r="O56" s="42" t="s">
        <v>17</v>
      </c>
    </row>
    <row r="57" spans="1:15" ht="16.5" customHeight="1">
      <c r="A57" s="159"/>
      <c r="B57" s="164"/>
      <c r="C57" s="31" t="s">
        <v>37</v>
      </c>
      <c r="D57" s="33" t="s">
        <v>465</v>
      </c>
      <c r="E57" s="33">
        <v>4</v>
      </c>
      <c r="F57" s="31">
        <f t="shared" si="2"/>
        <v>3</v>
      </c>
      <c r="G57" s="33"/>
      <c r="H57" s="33"/>
      <c r="I57" s="33"/>
      <c r="J57" s="34"/>
      <c r="K57" s="33"/>
      <c r="L57" s="33"/>
      <c r="M57" s="182"/>
      <c r="N57" s="183"/>
      <c r="O57" s="42" t="s">
        <v>17</v>
      </c>
    </row>
    <row r="58" spans="1:15" ht="16.5" customHeight="1">
      <c r="A58" s="159"/>
      <c r="B58" s="162" t="s">
        <v>505</v>
      </c>
      <c r="C58" s="31" t="s">
        <v>37</v>
      </c>
      <c r="D58" s="50" t="s">
        <v>452</v>
      </c>
      <c r="E58" s="33">
        <v>4</v>
      </c>
      <c r="F58" s="31">
        <f t="shared" si="2"/>
        <v>3</v>
      </c>
      <c r="G58" s="33"/>
      <c r="H58" s="33"/>
      <c r="I58" s="33"/>
      <c r="J58" s="34"/>
      <c r="K58" s="33"/>
      <c r="L58" s="33"/>
      <c r="M58" s="182"/>
      <c r="N58" s="183"/>
      <c r="O58" s="42" t="s">
        <v>17</v>
      </c>
    </row>
    <row r="59" spans="1:15" ht="16.5" customHeight="1">
      <c r="A59" s="159"/>
      <c r="B59" s="163"/>
      <c r="C59" s="31" t="s">
        <v>37</v>
      </c>
      <c r="D59" s="50" t="s">
        <v>466</v>
      </c>
      <c r="E59" s="33">
        <v>4</v>
      </c>
      <c r="F59" s="31">
        <f t="shared" si="2"/>
        <v>3</v>
      </c>
      <c r="G59" s="33"/>
      <c r="H59" s="33"/>
      <c r="I59" s="33"/>
      <c r="J59" s="34"/>
      <c r="K59" s="33"/>
      <c r="L59" s="33"/>
      <c r="M59" s="182"/>
      <c r="N59" s="183"/>
      <c r="O59" s="42" t="s">
        <v>17</v>
      </c>
    </row>
    <row r="60" spans="1:15" ht="16.5" customHeight="1">
      <c r="A60" s="159"/>
      <c r="B60" s="163"/>
      <c r="C60" s="31" t="s">
        <v>37</v>
      </c>
      <c r="D60" s="50" t="s">
        <v>467</v>
      </c>
      <c r="E60" s="33">
        <v>4</v>
      </c>
      <c r="F60" s="31">
        <f t="shared" si="2"/>
        <v>3</v>
      </c>
      <c r="G60" s="33"/>
      <c r="H60" s="33"/>
      <c r="I60" s="33"/>
      <c r="J60" s="34"/>
      <c r="K60" s="33"/>
      <c r="L60" s="33"/>
      <c r="M60" s="182"/>
      <c r="N60" s="183"/>
      <c r="O60" s="42" t="s">
        <v>17</v>
      </c>
    </row>
    <row r="61" spans="1:15" ht="16.5" customHeight="1">
      <c r="A61" s="159"/>
      <c r="B61" s="163"/>
      <c r="C61" s="31" t="s">
        <v>37</v>
      </c>
      <c r="D61" s="50" t="s">
        <v>561</v>
      </c>
      <c r="E61" s="33">
        <v>4</v>
      </c>
      <c r="F61" s="31">
        <f t="shared" si="2"/>
        <v>3</v>
      </c>
      <c r="G61" s="33"/>
      <c r="H61" s="33"/>
      <c r="I61" s="33"/>
      <c r="J61" s="34"/>
      <c r="K61" s="33"/>
      <c r="L61" s="33"/>
      <c r="M61" s="182"/>
      <c r="N61" s="183"/>
      <c r="O61" s="42" t="s">
        <v>17</v>
      </c>
    </row>
    <row r="62" spans="1:15" ht="16.5" customHeight="1">
      <c r="A62" s="160"/>
      <c r="B62" s="164"/>
      <c r="C62" s="31" t="s">
        <v>37</v>
      </c>
      <c r="D62" s="50" t="s">
        <v>560</v>
      </c>
      <c r="E62" s="33">
        <v>4</v>
      </c>
      <c r="F62" s="31">
        <f t="shared" si="2"/>
        <v>3</v>
      </c>
      <c r="G62" s="33"/>
      <c r="H62" s="33"/>
      <c r="I62" s="33"/>
      <c r="J62" s="33"/>
      <c r="K62" s="33"/>
      <c r="L62" s="33"/>
      <c r="M62" s="184"/>
      <c r="N62" s="185"/>
      <c r="O62" s="42" t="s">
        <v>17</v>
      </c>
    </row>
    <row r="63" spans="1:15" ht="16.5" customHeight="1">
      <c r="A63" s="158" t="s">
        <v>43</v>
      </c>
      <c r="B63" s="114" t="s">
        <v>438</v>
      </c>
      <c r="C63" s="31" t="s">
        <v>19</v>
      </c>
      <c r="D63" s="33" t="s">
        <v>439</v>
      </c>
      <c r="E63" s="33">
        <v>4</v>
      </c>
      <c r="F63" s="31">
        <f t="shared" si="2"/>
        <v>3</v>
      </c>
      <c r="G63" s="33"/>
      <c r="H63" s="33"/>
      <c r="I63" s="34">
        <v>3</v>
      </c>
      <c r="J63" s="33"/>
      <c r="K63" s="33"/>
      <c r="L63" s="33"/>
      <c r="M63" s="186">
        <f>SUM(G63:L64)</f>
        <v>3</v>
      </c>
      <c r="N63" s="187"/>
      <c r="O63" s="42" t="s">
        <v>17</v>
      </c>
    </row>
    <row r="64" spans="1:15" ht="16.5" customHeight="1">
      <c r="A64" s="160"/>
      <c r="B64" s="115"/>
      <c r="C64" s="31" t="s">
        <v>19</v>
      </c>
      <c r="D64" s="33" t="s">
        <v>469</v>
      </c>
      <c r="E64" s="33">
        <v>4</v>
      </c>
      <c r="F64" s="31">
        <f t="shared" si="2"/>
        <v>3</v>
      </c>
      <c r="G64" s="33"/>
      <c r="H64" s="33"/>
      <c r="I64" s="33"/>
      <c r="K64" s="33"/>
      <c r="L64" s="33"/>
      <c r="M64" s="184"/>
      <c r="N64" s="185"/>
      <c r="O64" s="42" t="s">
        <v>17</v>
      </c>
    </row>
    <row r="65" spans="1:15" ht="16.5" customHeight="1">
      <c r="A65" s="158" t="s">
        <v>44</v>
      </c>
      <c r="B65" s="114" t="s">
        <v>438</v>
      </c>
      <c r="C65" s="31" t="s">
        <v>37</v>
      </c>
      <c r="D65" s="33" t="s">
        <v>440</v>
      </c>
      <c r="E65" s="33">
        <v>4</v>
      </c>
      <c r="F65" s="31">
        <f t="shared" si="2"/>
        <v>3</v>
      </c>
      <c r="G65" s="33"/>
      <c r="H65" s="33"/>
      <c r="I65" s="33"/>
      <c r="J65" s="34">
        <v>3</v>
      </c>
      <c r="K65" s="33"/>
      <c r="L65" s="33"/>
      <c r="M65" s="186">
        <f>SUM(G65:L66)</f>
        <v>3</v>
      </c>
      <c r="N65" s="187"/>
      <c r="O65" s="42" t="s">
        <v>17</v>
      </c>
    </row>
    <row r="66" spans="1:15" ht="16.5" customHeight="1">
      <c r="A66" s="160"/>
      <c r="B66" s="115"/>
      <c r="C66" s="31" t="s">
        <v>37</v>
      </c>
      <c r="D66" s="33" t="s">
        <v>470</v>
      </c>
      <c r="E66" s="33">
        <v>4</v>
      </c>
      <c r="F66" s="31">
        <f t="shared" si="2"/>
        <v>3</v>
      </c>
      <c r="G66" s="33"/>
      <c r="H66" s="33"/>
      <c r="I66" s="33"/>
      <c r="J66" s="33"/>
      <c r="K66" s="33"/>
      <c r="L66" s="33"/>
      <c r="M66" s="184"/>
      <c r="N66" s="185"/>
      <c r="O66" s="42" t="s">
        <v>17</v>
      </c>
    </row>
    <row r="67" spans="1:15" ht="16.5" customHeight="1">
      <c r="A67" s="158" t="s">
        <v>45</v>
      </c>
      <c r="B67" s="35" t="s">
        <v>513</v>
      </c>
      <c r="C67" s="31" t="s">
        <v>37</v>
      </c>
      <c r="D67" s="33" t="s">
        <v>471</v>
      </c>
      <c r="E67" s="33">
        <v>4</v>
      </c>
      <c r="F67" s="31">
        <f t="shared" si="2"/>
        <v>3</v>
      </c>
      <c r="G67" s="33"/>
      <c r="H67" s="33"/>
      <c r="I67" s="33"/>
      <c r="J67" s="33"/>
      <c r="K67" s="34">
        <v>3</v>
      </c>
      <c r="L67" s="33"/>
      <c r="M67" s="186">
        <f>SUM(G67:L83)</f>
        <v>12</v>
      </c>
      <c r="N67" s="187"/>
      <c r="O67" s="42" t="s">
        <v>17</v>
      </c>
    </row>
    <row r="68" spans="1:15" ht="16.5" customHeight="1">
      <c r="A68" s="159"/>
      <c r="B68" s="114" t="s">
        <v>20</v>
      </c>
      <c r="C68" s="31" t="s">
        <v>37</v>
      </c>
      <c r="D68" s="33" t="s">
        <v>472</v>
      </c>
      <c r="E68" s="33">
        <v>4</v>
      </c>
      <c r="F68" s="31">
        <f t="shared" si="2"/>
        <v>3</v>
      </c>
      <c r="G68" s="33"/>
      <c r="H68" s="33"/>
      <c r="I68" s="33"/>
      <c r="J68" s="33"/>
      <c r="K68" s="34">
        <v>3</v>
      </c>
      <c r="L68" s="33"/>
      <c r="M68" s="182"/>
      <c r="N68" s="183"/>
      <c r="O68" s="42" t="s">
        <v>17</v>
      </c>
    </row>
    <row r="69" spans="1:15" ht="16.5" customHeight="1">
      <c r="A69" s="159"/>
      <c r="B69" s="115"/>
      <c r="C69" s="31" t="s">
        <v>37</v>
      </c>
      <c r="D69" s="33" t="s">
        <v>448</v>
      </c>
      <c r="E69" s="33">
        <v>4</v>
      </c>
      <c r="F69" s="31">
        <f t="shared" si="2"/>
        <v>3</v>
      </c>
      <c r="G69" s="33"/>
      <c r="H69" s="33"/>
      <c r="I69" s="33"/>
      <c r="J69" s="33"/>
      <c r="K69" s="34">
        <v>3</v>
      </c>
      <c r="L69" s="33"/>
      <c r="M69" s="182"/>
      <c r="N69" s="183"/>
      <c r="O69" s="42" t="s">
        <v>17</v>
      </c>
    </row>
    <row r="70" spans="1:15" ht="16.5" customHeight="1">
      <c r="A70" s="159"/>
      <c r="B70" s="33" t="s">
        <v>23</v>
      </c>
      <c r="C70" s="31" t="s">
        <v>38</v>
      </c>
      <c r="D70" s="33" t="s">
        <v>473</v>
      </c>
      <c r="E70" s="33">
        <v>4</v>
      </c>
      <c r="F70" s="31">
        <f t="shared" si="2"/>
        <v>3</v>
      </c>
      <c r="G70" s="33"/>
      <c r="H70" s="33"/>
      <c r="I70" s="33"/>
      <c r="J70" s="33"/>
      <c r="K70" s="34">
        <v>3</v>
      </c>
      <c r="L70" s="33"/>
      <c r="M70" s="182"/>
      <c r="N70" s="183"/>
      <c r="O70" s="42" t="s">
        <v>17</v>
      </c>
    </row>
    <row r="71" spans="1:15" ht="16.5" customHeight="1">
      <c r="A71" s="159"/>
      <c r="B71" s="114" t="s">
        <v>424</v>
      </c>
      <c r="C71" s="31" t="s">
        <v>37</v>
      </c>
      <c r="D71" s="33" t="s">
        <v>474</v>
      </c>
      <c r="E71" s="33">
        <v>4</v>
      </c>
      <c r="F71" s="31">
        <f t="shared" si="2"/>
        <v>3</v>
      </c>
      <c r="G71" s="33"/>
      <c r="H71" s="33"/>
      <c r="I71" s="33"/>
      <c r="J71" s="33"/>
      <c r="K71" s="34"/>
      <c r="L71" s="33"/>
      <c r="M71" s="182"/>
      <c r="N71" s="183"/>
      <c r="O71" s="42" t="s">
        <v>17</v>
      </c>
    </row>
    <row r="72" spans="1:15" ht="16.5" customHeight="1">
      <c r="A72" s="159"/>
      <c r="B72" s="116"/>
      <c r="C72" s="31" t="s">
        <v>37</v>
      </c>
      <c r="D72" s="33" t="s">
        <v>475</v>
      </c>
      <c r="E72" s="33">
        <v>4</v>
      </c>
      <c r="F72" s="31">
        <f t="shared" si="2"/>
        <v>3</v>
      </c>
      <c r="G72" s="33"/>
      <c r="H72" s="33"/>
      <c r="I72" s="33"/>
      <c r="J72" s="33"/>
      <c r="K72" s="34"/>
      <c r="L72" s="33"/>
      <c r="M72" s="182"/>
      <c r="N72" s="183"/>
      <c r="O72" s="42" t="s">
        <v>17</v>
      </c>
    </row>
    <row r="73" spans="1:15" ht="16.5" customHeight="1">
      <c r="A73" s="159"/>
      <c r="B73" s="116"/>
      <c r="C73" s="31" t="s">
        <v>37</v>
      </c>
      <c r="D73" s="33" t="s">
        <v>476</v>
      </c>
      <c r="E73" s="33">
        <v>4</v>
      </c>
      <c r="F73" s="31">
        <f t="shared" si="2"/>
        <v>3</v>
      </c>
      <c r="G73" s="33"/>
      <c r="H73" s="33"/>
      <c r="I73" s="33"/>
      <c r="J73" s="33"/>
      <c r="K73" s="34"/>
      <c r="L73" s="33"/>
      <c r="M73" s="182"/>
      <c r="N73" s="183"/>
      <c r="O73" s="42" t="s">
        <v>17</v>
      </c>
    </row>
    <row r="74" spans="1:15" ht="16.5" customHeight="1">
      <c r="A74" s="159"/>
      <c r="B74" s="116"/>
      <c r="C74" s="31" t="s">
        <v>37</v>
      </c>
      <c r="D74" s="33" t="s">
        <v>477</v>
      </c>
      <c r="E74" s="33">
        <v>4</v>
      </c>
      <c r="F74" s="31">
        <f t="shared" si="2"/>
        <v>3</v>
      </c>
      <c r="G74" s="33"/>
      <c r="H74" s="33"/>
      <c r="I74" s="33"/>
      <c r="J74" s="33"/>
      <c r="K74" s="34"/>
      <c r="L74" s="33"/>
      <c r="M74" s="182"/>
      <c r="N74" s="183"/>
      <c r="O74" s="42" t="s">
        <v>17</v>
      </c>
    </row>
    <row r="75" spans="1:15" ht="16.5" customHeight="1">
      <c r="A75" s="159"/>
      <c r="B75" s="115"/>
      <c r="C75" s="31" t="s">
        <v>38</v>
      </c>
      <c r="D75" s="33" t="s">
        <v>478</v>
      </c>
      <c r="E75" s="33">
        <v>4</v>
      </c>
      <c r="F75" s="31">
        <f t="shared" si="2"/>
        <v>3</v>
      </c>
      <c r="G75" s="33"/>
      <c r="H75" s="33"/>
      <c r="I75" s="33"/>
      <c r="J75" s="33"/>
      <c r="K75" s="34"/>
      <c r="L75" s="33"/>
      <c r="M75" s="182"/>
      <c r="N75" s="183"/>
      <c r="O75" s="42" t="s">
        <v>46</v>
      </c>
    </row>
    <row r="76" spans="1:15" ht="16.5" customHeight="1">
      <c r="A76" s="159"/>
      <c r="B76" s="114" t="s">
        <v>425</v>
      </c>
      <c r="C76" s="31" t="s">
        <v>37</v>
      </c>
      <c r="D76" s="33" t="s">
        <v>479</v>
      </c>
      <c r="E76" s="33">
        <v>4</v>
      </c>
      <c r="F76" s="31">
        <f t="shared" si="2"/>
        <v>3</v>
      </c>
      <c r="G76" s="33"/>
      <c r="H76" s="33"/>
      <c r="I76" s="33"/>
      <c r="J76" s="33"/>
      <c r="K76" s="34"/>
      <c r="L76" s="33"/>
      <c r="M76" s="182"/>
      <c r="N76" s="183"/>
      <c r="O76" s="42" t="s">
        <v>17</v>
      </c>
    </row>
    <row r="77" spans="1:15" ht="16.5" customHeight="1">
      <c r="A77" s="159"/>
      <c r="B77" s="116"/>
      <c r="C77" s="31" t="s">
        <v>37</v>
      </c>
      <c r="D77" s="33" t="s">
        <v>480</v>
      </c>
      <c r="E77" s="33">
        <v>4</v>
      </c>
      <c r="F77" s="31">
        <f t="shared" si="2"/>
        <v>3</v>
      </c>
      <c r="G77" s="33"/>
      <c r="H77" s="33"/>
      <c r="I77" s="33"/>
      <c r="J77" s="33"/>
      <c r="K77" s="34"/>
      <c r="L77" s="33"/>
      <c r="M77" s="182"/>
      <c r="N77" s="183"/>
      <c r="O77" s="42" t="s">
        <v>17</v>
      </c>
    </row>
    <row r="78" spans="1:15" ht="16.5" customHeight="1">
      <c r="A78" s="159"/>
      <c r="B78" s="116"/>
      <c r="C78" s="31" t="s">
        <v>37</v>
      </c>
      <c r="D78" s="33" t="s">
        <v>481</v>
      </c>
      <c r="E78" s="33">
        <v>4</v>
      </c>
      <c r="F78" s="31">
        <f t="shared" si="2"/>
        <v>3</v>
      </c>
      <c r="G78" s="33"/>
      <c r="H78" s="33"/>
      <c r="I78" s="33"/>
      <c r="J78" s="33"/>
      <c r="K78" s="34"/>
      <c r="L78" s="33"/>
      <c r="M78" s="182"/>
      <c r="N78" s="183"/>
      <c r="O78" s="42" t="s">
        <v>17</v>
      </c>
    </row>
    <row r="79" spans="1:15" ht="16.5" customHeight="1">
      <c r="A79" s="159"/>
      <c r="B79" s="116"/>
      <c r="C79" s="31" t="s">
        <v>37</v>
      </c>
      <c r="D79" s="33" t="s">
        <v>482</v>
      </c>
      <c r="E79" s="33">
        <v>4</v>
      </c>
      <c r="F79" s="31">
        <f t="shared" si="2"/>
        <v>3</v>
      </c>
      <c r="G79" s="33"/>
      <c r="H79" s="33"/>
      <c r="I79" s="33"/>
      <c r="J79" s="33"/>
      <c r="K79" s="34"/>
      <c r="L79" s="33"/>
      <c r="M79" s="182"/>
      <c r="N79" s="183"/>
      <c r="O79" s="42" t="s">
        <v>17</v>
      </c>
    </row>
    <row r="80" spans="1:15" ht="16.5" customHeight="1">
      <c r="A80" s="159"/>
      <c r="B80" s="116"/>
      <c r="C80" s="31" t="s">
        <v>37</v>
      </c>
      <c r="D80" s="33" t="s">
        <v>483</v>
      </c>
      <c r="E80" s="33">
        <v>4</v>
      </c>
      <c r="F80" s="31">
        <f t="shared" si="2"/>
        <v>3</v>
      </c>
      <c r="G80" s="33"/>
      <c r="H80" s="33"/>
      <c r="I80" s="33"/>
      <c r="J80" s="33"/>
      <c r="K80" s="34"/>
      <c r="L80" s="33"/>
      <c r="M80" s="182"/>
      <c r="N80" s="183"/>
      <c r="O80" s="42" t="s">
        <v>17</v>
      </c>
    </row>
    <row r="81" spans="1:15" ht="16.5" customHeight="1">
      <c r="A81" s="159"/>
      <c r="B81" s="115"/>
      <c r="C81" s="31" t="s">
        <v>37</v>
      </c>
      <c r="D81" s="33" t="s">
        <v>484</v>
      </c>
      <c r="E81" s="33">
        <v>4</v>
      </c>
      <c r="F81" s="31">
        <f t="shared" si="2"/>
        <v>3</v>
      </c>
      <c r="G81" s="33"/>
      <c r="H81" s="33"/>
      <c r="I81" s="33"/>
      <c r="J81" s="33"/>
      <c r="K81" s="34"/>
      <c r="L81" s="33"/>
      <c r="M81" s="182"/>
      <c r="N81" s="183"/>
      <c r="O81" s="42" t="s">
        <v>17</v>
      </c>
    </row>
    <row r="82" spans="1:15" ht="16.5" customHeight="1">
      <c r="A82" s="159"/>
      <c r="B82" s="162" t="s">
        <v>348</v>
      </c>
      <c r="C82" s="31" t="s">
        <v>38</v>
      </c>
      <c r="D82" s="36" t="s">
        <v>485</v>
      </c>
      <c r="E82" s="33">
        <v>4</v>
      </c>
      <c r="F82" s="31">
        <f t="shared" si="2"/>
        <v>3</v>
      </c>
      <c r="G82" s="33"/>
      <c r="H82" s="33"/>
      <c r="I82" s="33"/>
      <c r="J82" s="33"/>
      <c r="K82" s="34"/>
      <c r="L82" s="33"/>
      <c r="M82" s="182"/>
      <c r="N82" s="183"/>
      <c r="O82" s="42" t="s">
        <v>17</v>
      </c>
    </row>
    <row r="83" spans="1:15" ht="16.5" customHeight="1">
      <c r="A83" s="160"/>
      <c r="B83" s="164"/>
      <c r="C83" s="31" t="s">
        <v>38</v>
      </c>
      <c r="D83" s="33" t="s">
        <v>486</v>
      </c>
      <c r="E83" s="33">
        <v>4</v>
      </c>
      <c r="F83" s="31">
        <f t="shared" si="2"/>
        <v>3</v>
      </c>
      <c r="G83" s="33"/>
      <c r="H83" s="33"/>
      <c r="I83" s="33"/>
      <c r="J83" s="33"/>
      <c r="K83" s="33"/>
      <c r="L83" s="33"/>
      <c r="M83" s="182"/>
      <c r="N83" s="183"/>
      <c r="O83" s="42" t="s">
        <v>17</v>
      </c>
    </row>
    <row r="84" spans="1:15" ht="16.5" customHeight="1">
      <c r="A84" s="158" t="s">
        <v>47</v>
      </c>
      <c r="B84" s="35" t="s">
        <v>513</v>
      </c>
      <c r="C84" s="31" t="s">
        <v>38</v>
      </c>
      <c r="D84" s="37" t="s">
        <v>487</v>
      </c>
      <c r="E84" s="33">
        <v>4</v>
      </c>
      <c r="F84" s="31">
        <f t="shared" si="2"/>
        <v>3</v>
      </c>
      <c r="G84" s="33"/>
      <c r="H84" s="33"/>
      <c r="I84" s="33"/>
      <c r="J84" s="33"/>
      <c r="K84" s="33"/>
      <c r="L84" s="34">
        <v>3</v>
      </c>
      <c r="M84" s="182">
        <v>12</v>
      </c>
      <c r="N84" s="183"/>
      <c r="O84" s="42" t="s">
        <v>17</v>
      </c>
    </row>
    <row r="85" spans="1:15" ht="16.5" customHeight="1">
      <c r="A85" s="159"/>
      <c r="B85" s="33" t="s">
        <v>20</v>
      </c>
      <c r="C85" s="31" t="s">
        <v>38</v>
      </c>
      <c r="D85" s="33" t="s">
        <v>446</v>
      </c>
      <c r="E85" s="33">
        <v>4</v>
      </c>
      <c r="F85" s="31">
        <f t="shared" si="2"/>
        <v>3</v>
      </c>
      <c r="G85" s="33"/>
      <c r="H85" s="33"/>
      <c r="I85" s="33"/>
      <c r="J85" s="33"/>
      <c r="K85" s="33"/>
      <c r="L85" s="34">
        <v>3</v>
      </c>
      <c r="M85" s="182"/>
      <c r="N85" s="183"/>
      <c r="O85" s="42" t="s">
        <v>17</v>
      </c>
    </row>
    <row r="86" spans="1:15" ht="16.5" customHeight="1">
      <c r="A86" s="159"/>
      <c r="B86" s="33" t="s">
        <v>326</v>
      </c>
      <c r="C86" s="31" t="s">
        <v>38</v>
      </c>
      <c r="D86" s="33" t="s">
        <v>488</v>
      </c>
      <c r="E86" s="33">
        <v>4</v>
      </c>
      <c r="F86" s="31">
        <f t="shared" si="2"/>
        <v>3</v>
      </c>
      <c r="G86" s="33"/>
      <c r="H86" s="33"/>
      <c r="I86" s="33"/>
      <c r="J86" s="33"/>
      <c r="K86" s="33"/>
      <c r="L86" s="34">
        <v>3</v>
      </c>
      <c r="M86" s="182"/>
      <c r="N86" s="183"/>
      <c r="O86" s="42" t="s">
        <v>17</v>
      </c>
    </row>
    <row r="87" spans="1:15" ht="16.5" customHeight="1">
      <c r="A87" s="159"/>
      <c r="B87" s="114" t="s">
        <v>506</v>
      </c>
      <c r="C87" s="31" t="s">
        <v>38</v>
      </c>
      <c r="D87" s="33" t="s">
        <v>489</v>
      </c>
      <c r="E87" s="33">
        <v>4</v>
      </c>
      <c r="F87" s="31">
        <f t="shared" si="2"/>
        <v>3</v>
      </c>
      <c r="G87" s="33"/>
      <c r="H87" s="33"/>
      <c r="I87" s="33"/>
      <c r="J87" s="33"/>
      <c r="K87" s="33"/>
      <c r="L87" s="34">
        <v>3</v>
      </c>
      <c r="M87" s="182"/>
      <c r="N87" s="183"/>
      <c r="O87" s="42" t="s">
        <v>46</v>
      </c>
    </row>
    <row r="88" spans="1:15" ht="16.5" customHeight="1">
      <c r="A88" s="159"/>
      <c r="B88" s="116"/>
      <c r="C88" s="31" t="s">
        <v>38</v>
      </c>
      <c r="D88" s="33" t="s">
        <v>490</v>
      </c>
      <c r="E88" s="33">
        <v>4</v>
      </c>
      <c r="F88" s="31">
        <f t="shared" si="2"/>
        <v>3</v>
      </c>
      <c r="G88" s="33"/>
      <c r="H88" s="33"/>
      <c r="I88" s="33"/>
      <c r="J88" s="33"/>
      <c r="K88" s="33"/>
      <c r="L88" s="34"/>
      <c r="M88" s="182"/>
      <c r="N88" s="183"/>
      <c r="O88" s="42" t="s">
        <v>46</v>
      </c>
    </row>
    <row r="89" spans="1:15" ht="16.5" customHeight="1">
      <c r="A89" s="159"/>
      <c r="B89" s="116"/>
      <c r="C89" s="31" t="s">
        <v>38</v>
      </c>
      <c r="D89" s="33" t="s">
        <v>451</v>
      </c>
      <c r="E89" s="33">
        <v>4</v>
      </c>
      <c r="F89" s="31">
        <f t="shared" si="2"/>
        <v>3</v>
      </c>
      <c r="G89" s="33"/>
      <c r="H89" s="33"/>
      <c r="I89" s="33"/>
      <c r="J89" s="33"/>
      <c r="K89" s="33"/>
      <c r="L89" s="34"/>
      <c r="M89" s="182"/>
      <c r="N89" s="183"/>
      <c r="O89" s="42" t="s">
        <v>46</v>
      </c>
    </row>
    <row r="90" spans="1:15" ht="16.5" customHeight="1">
      <c r="A90" s="159"/>
      <c r="B90" s="116"/>
      <c r="C90" s="31" t="s">
        <v>38</v>
      </c>
      <c r="D90" s="33" t="s">
        <v>450</v>
      </c>
      <c r="E90" s="33">
        <v>4</v>
      </c>
      <c r="F90" s="31">
        <f t="shared" si="2"/>
        <v>3</v>
      </c>
      <c r="G90" s="33"/>
      <c r="H90" s="33"/>
      <c r="I90" s="33"/>
      <c r="J90" s="33"/>
      <c r="K90" s="33"/>
      <c r="L90" s="34"/>
      <c r="M90" s="182"/>
      <c r="N90" s="183"/>
      <c r="O90" s="42" t="s">
        <v>46</v>
      </c>
    </row>
    <row r="91" spans="1:15" ht="16.5" customHeight="1">
      <c r="A91" s="159"/>
      <c r="B91" s="115"/>
      <c r="C91" s="31" t="s">
        <v>38</v>
      </c>
      <c r="D91" s="33" t="s">
        <v>491</v>
      </c>
      <c r="E91" s="33">
        <v>4</v>
      </c>
      <c r="F91" s="31">
        <f t="shared" si="2"/>
        <v>3</v>
      </c>
      <c r="G91" s="33"/>
      <c r="H91" s="33"/>
      <c r="I91" s="33"/>
      <c r="J91" s="33"/>
      <c r="K91" s="33"/>
      <c r="L91" s="34"/>
      <c r="M91" s="182"/>
      <c r="N91" s="183"/>
      <c r="O91" s="42" t="s">
        <v>46</v>
      </c>
    </row>
    <row r="92" spans="1:15" ht="16.5" customHeight="1">
      <c r="A92" s="159"/>
      <c r="B92" s="162" t="s">
        <v>505</v>
      </c>
      <c r="C92" s="31" t="s">
        <v>37</v>
      </c>
      <c r="D92" s="33" t="s">
        <v>479</v>
      </c>
      <c r="E92" s="33">
        <v>4</v>
      </c>
      <c r="F92" s="31">
        <f t="shared" si="2"/>
        <v>3</v>
      </c>
      <c r="G92" s="33"/>
      <c r="H92" s="33"/>
      <c r="I92" s="33"/>
      <c r="J92" s="33"/>
      <c r="K92" s="33"/>
      <c r="L92" s="34"/>
      <c r="M92" s="182"/>
      <c r="N92" s="183"/>
      <c r="O92" s="42" t="s">
        <v>17</v>
      </c>
    </row>
    <row r="93" spans="1:15" ht="16.5" customHeight="1">
      <c r="A93" s="159"/>
      <c r="B93" s="163"/>
      <c r="C93" s="31" t="s">
        <v>37</v>
      </c>
      <c r="D93" s="33" t="s">
        <v>480</v>
      </c>
      <c r="E93" s="33">
        <v>4</v>
      </c>
      <c r="F93" s="31">
        <f t="shared" si="2"/>
        <v>3</v>
      </c>
      <c r="G93" s="33"/>
      <c r="H93" s="33"/>
      <c r="I93" s="33"/>
      <c r="J93" s="33"/>
      <c r="K93" s="33"/>
      <c r="L93" s="34"/>
      <c r="M93" s="182"/>
      <c r="N93" s="183"/>
      <c r="O93" s="42" t="s">
        <v>17</v>
      </c>
    </row>
    <row r="94" spans="1:15" ht="16.5" customHeight="1">
      <c r="A94" s="159"/>
      <c r="B94" s="163"/>
      <c r="C94" s="31" t="s">
        <v>37</v>
      </c>
      <c r="D94" s="33" t="s">
        <v>481</v>
      </c>
      <c r="E94" s="33">
        <v>4</v>
      </c>
      <c r="F94" s="31">
        <f t="shared" si="2"/>
        <v>3</v>
      </c>
      <c r="G94" s="33"/>
      <c r="H94" s="33"/>
      <c r="I94" s="33"/>
      <c r="J94" s="33"/>
      <c r="K94" s="33"/>
      <c r="L94" s="34"/>
      <c r="M94" s="182"/>
      <c r="N94" s="183"/>
      <c r="O94" s="42" t="s">
        <v>17</v>
      </c>
    </row>
    <row r="95" spans="1:15" ht="16.5" customHeight="1">
      <c r="A95" s="159"/>
      <c r="B95" s="163"/>
      <c r="C95" s="31" t="s">
        <v>37</v>
      </c>
      <c r="D95" s="33" t="s">
        <v>482</v>
      </c>
      <c r="E95" s="33">
        <v>4</v>
      </c>
      <c r="F95" s="31">
        <f t="shared" si="2"/>
        <v>3</v>
      </c>
      <c r="G95" s="33"/>
      <c r="H95" s="33"/>
      <c r="I95" s="33"/>
      <c r="J95" s="33"/>
      <c r="K95" s="33"/>
      <c r="L95" s="34"/>
      <c r="M95" s="182"/>
      <c r="N95" s="183"/>
      <c r="O95" s="42" t="s">
        <v>17</v>
      </c>
    </row>
    <row r="96" spans="1:15" ht="16.5" customHeight="1">
      <c r="A96" s="159"/>
      <c r="B96" s="163"/>
      <c r="C96" s="31" t="s">
        <v>38</v>
      </c>
      <c r="D96" s="33" t="s">
        <v>492</v>
      </c>
      <c r="E96" s="33">
        <v>4</v>
      </c>
      <c r="F96" s="31">
        <f t="shared" si="2"/>
        <v>3</v>
      </c>
      <c r="G96" s="33"/>
      <c r="H96" s="33"/>
      <c r="I96" s="33"/>
      <c r="J96" s="33"/>
      <c r="K96" s="33"/>
      <c r="L96" s="34"/>
      <c r="M96" s="182"/>
      <c r="N96" s="183"/>
      <c r="O96" s="42" t="s">
        <v>46</v>
      </c>
    </row>
    <row r="97" spans="1:15" ht="16.5" customHeight="1">
      <c r="A97" s="159"/>
      <c r="B97" s="164"/>
      <c r="C97" s="31" t="s">
        <v>38</v>
      </c>
      <c r="D97" s="33" t="s">
        <v>493</v>
      </c>
      <c r="E97" s="33">
        <v>4</v>
      </c>
      <c r="F97" s="31">
        <f t="shared" si="2"/>
        <v>3</v>
      </c>
      <c r="G97" s="33"/>
      <c r="H97" s="33"/>
      <c r="I97" s="33"/>
      <c r="J97" s="33"/>
      <c r="K97" s="33"/>
      <c r="L97" s="34"/>
      <c r="M97" s="182"/>
      <c r="N97" s="183"/>
      <c r="O97" s="42" t="s">
        <v>46</v>
      </c>
    </row>
    <row r="98" spans="1:15" ht="16.5" customHeight="1">
      <c r="A98" s="159"/>
      <c r="B98" s="162" t="s">
        <v>348</v>
      </c>
      <c r="C98" s="31" t="s">
        <v>37</v>
      </c>
      <c r="D98" s="33" t="s">
        <v>494</v>
      </c>
      <c r="E98" s="33">
        <v>4</v>
      </c>
      <c r="F98" s="31">
        <f t="shared" si="2"/>
        <v>3</v>
      </c>
      <c r="G98" s="33"/>
      <c r="H98" s="33"/>
      <c r="I98" s="33"/>
      <c r="J98" s="33"/>
      <c r="K98" s="33"/>
      <c r="L98" s="34"/>
      <c r="M98" s="182"/>
      <c r="N98" s="183"/>
      <c r="O98" s="42" t="s">
        <v>17</v>
      </c>
    </row>
    <row r="99" spans="1:15" ht="16.5" customHeight="1">
      <c r="A99" s="160"/>
      <c r="B99" s="164"/>
      <c r="C99" s="31" t="s">
        <v>37</v>
      </c>
      <c r="D99" s="33" t="s">
        <v>495</v>
      </c>
      <c r="E99" s="33">
        <v>4</v>
      </c>
      <c r="F99" s="31">
        <f t="shared" si="2"/>
        <v>3</v>
      </c>
      <c r="G99" s="33"/>
      <c r="H99" s="33"/>
      <c r="I99" s="33"/>
      <c r="J99" s="33"/>
      <c r="K99" s="33"/>
      <c r="L99" s="33"/>
      <c r="M99" s="184"/>
      <c r="N99" s="185"/>
      <c r="O99" s="42" t="s">
        <v>17</v>
      </c>
    </row>
    <row r="100" spans="1:15" ht="16.5" customHeight="1">
      <c r="A100" s="173" t="s">
        <v>48</v>
      </c>
      <c r="B100" s="162" t="s">
        <v>514</v>
      </c>
      <c r="C100" s="31" t="s">
        <v>19</v>
      </c>
      <c r="D100" s="33" t="s">
        <v>444</v>
      </c>
      <c r="E100" s="33">
        <v>3</v>
      </c>
      <c r="F100" s="31">
        <v>2</v>
      </c>
      <c r="G100" s="33"/>
      <c r="H100" s="33"/>
      <c r="I100" s="33"/>
      <c r="J100" s="33"/>
      <c r="K100" s="34">
        <v>2</v>
      </c>
      <c r="L100" s="34">
        <v>2</v>
      </c>
      <c r="M100" s="176">
        <f>SUM(G100:L103)</f>
        <v>4</v>
      </c>
      <c r="N100" s="177"/>
      <c r="O100" s="42" t="s">
        <v>49</v>
      </c>
    </row>
    <row r="101" spans="1:15" ht="16.5" customHeight="1">
      <c r="A101" s="174"/>
      <c r="B101" s="163"/>
      <c r="C101" s="31" t="s">
        <v>37</v>
      </c>
      <c r="D101" s="33" t="s">
        <v>443</v>
      </c>
      <c r="E101" s="33">
        <v>3</v>
      </c>
      <c r="F101" s="31">
        <v>2</v>
      </c>
      <c r="G101" s="33"/>
      <c r="H101" s="33"/>
      <c r="I101" s="33"/>
      <c r="J101" s="33"/>
      <c r="K101" s="34"/>
      <c r="L101" s="34"/>
      <c r="M101" s="178"/>
      <c r="N101" s="179"/>
      <c r="O101" s="42" t="s">
        <v>49</v>
      </c>
    </row>
    <row r="102" spans="1:15" ht="16.5" customHeight="1">
      <c r="A102" s="174"/>
      <c r="B102" s="163"/>
      <c r="C102" s="31" t="s">
        <v>38</v>
      </c>
      <c r="D102" s="33" t="s">
        <v>496</v>
      </c>
      <c r="E102" s="33">
        <v>3</v>
      </c>
      <c r="F102" s="31">
        <v>2</v>
      </c>
      <c r="G102" s="33"/>
      <c r="H102" s="33"/>
      <c r="I102" s="33"/>
      <c r="J102" s="33"/>
      <c r="K102" s="34"/>
      <c r="L102" s="34"/>
      <c r="M102" s="178"/>
      <c r="N102" s="179"/>
      <c r="O102" s="42" t="s">
        <v>49</v>
      </c>
    </row>
    <row r="103" spans="1:15" ht="16.5" customHeight="1">
      <c r="A103" s="175"/>
      <c r="B103" s="164"/>
      <c r="C103" s="31" t="s">
        <v>37</v>
      </c>
      <c r="D103" s="33" t="s">
        <v>445</v>
      </c>
      <c r="E103" s="33">
        <v>3</v>
      </c>
      <c r="F103" s="31">
        <v>2</v>
      </c>
      <c r="G103" s="33"/>
      <c r="H103" s="33"/>
      <c r="I103" s="33"/>
      <c r="J103" s="33"/>
      <c r="K103" s="34"/>
      <c r="L103" s="34"/>
      <c r="M103" s="180"/>
      <c r="N103" s="181"/>
      <c r="O103" s="42" t="s">
        <v>49</v>
      </c>
    </row>
    <row r="104" spans="1:15" ht="16.5" customHeight="1">
      <c r="A104" s="117" t="s">
        <v>414</v>
      </c>
      <c r="B104" s="127"/>
      <c r="C104" s="127"/>
      <c r="D104" s="118"/>
      <c r="E104" s="38"/>
      <c r="F104" s="38"/>
      <c r="G104" s="38">
        <f t="shared" ref="G104:L104" si="3">SUM(G44:G103)</f>
        <v>0</v>
      </c>
      <c r="H104" s="38">
        <f t="shared" si="3"/>
        <v>0</v>
      </c>
      <c r="I104" s="38">
        <f t="shared" si="3"/>
        <v>15</v>
      </c>
      <c r="J104" s="38">
        <f t="shared" si="3"/>
        <v>15</v>
      </c>
      <c r="K104" s="38">
        <f t="shared" si="3"/>
        <v>14</v>
      </c>
      <c r="L104" s="38">
        <f t="shared" si="3"/>
        <v>14</v>
      </c>
      <c r="M104" s="117">
        <f>SUM(G104:L104)</f>
        <v>58</v>
      </c>
      <c r="N104" s="118"/>
      <c r="O104" s="44"/>
    </row>
    <row r="105" spans="1:15" ht="16.5" customHeight="1">
      <c r="A105" s="106" t="s">
        <v>415</v>
      </c>
      <c r="B105" s="107"/>
      <c r="C105" s="107"/>
      <c r="D105" s="108"/>
      <c r="E105" s="39"/>
      <c r="F105" s="39"/>
      <c r="G105" s="39">
        <f t="shared" ref="G105:L105" si="4">SUM(G43,G104)</f>
        <v>29</v>
      </c>
      <c r="H105" s="39">
        <f t="shared" si="4"/>
        <v>29</v>
      </c>
      <c r="I105" s="39">
        <f t="shared" si="4"/>
        <v>29</v>
      </c>
      <c r="J105" s="39">
        <f t="shared" si="4"/>
        <v>29</v>
      </c>
      <c r="K105" s="39">
        <f t="shared" si="4"/>
        <v>29</v>
      </c>
      <c r="L105" s="39">
        <f t="shared" si="4"/>
        <v>29</v>
      </c>
      <c r="M105" s="106">
        <f>SUM(G105:L105)</f>
        <v>174</v>
      </c>
      <c r="N105" s="108"/>
      <c r="O105" s="45"/>
    </row>
    <row r="106" spans="1:15" ht="16.5" customHeight="1">
      <c r="A106" s="106" t="s">
        <v>497</v>
      </c>
      <c r="B106" s="107"/>
      <c r="C106" s="107"/>
      <c r="D106" s="108"/>
      <c r="E106" s="39"/>
      <c r="F106" s="39"/>
      <c r="G106" s="39">
        <v>3</v>
      </c>
      <c r="H106" s="39">
        <v>3</v>
      </c>
      <c r="I106" s="39">
        <v>3</v>
      </c>
      <c r="J106" s="39">
        <v>3</v>
      </c>
      <c r="K106" s="39">
        <v>3</v>
      </c>
      <c r="L106" s="39">
        <v>3</v>
      </c>
      <c r="M106" s="106">
        <f>SUM(G106:L106)</f>
        <v>18</v>
      </c>
      <c r="N106" s="108"/>
      <c r="O106" s="45"/>
    </row>
    <row r="107" spans="1:15" ht="16.5" customHeight="1" thickBot="1">
      <c r="A107" s="109" t="s">
        <v>416</v>
      </c>
      <c r="B107" s="110"/>
      <c r="C107" s="110"/>
      <c r="D107" s="111"/>
      <c r="E107" s="40"/>
      <c r="F107" s="40"/>
      <c r="G107" s="40">
        <f t="shared" ref="G107:L107" si="5">SUM(G105:G106)</f>
        <v>32</v>
      </c>
      <c r="H107" s="40">
        <f t="shared" si="5"/>
        <v>32</v>
      </c>
      <c r="I107" s="40">
        <f t="shared" si="5"/>
        <v>32</v>
      </c>
      <c r="J107" s="40">
        <f t="shared" si="5"/>
        <v>32</v>
      </c>
      <c r="K107" s="40">
        <f t="shared" si="5"/>
        <v>32</v>
      </c>
      <c r="L107" s="40">
        <f t="shared" si="5"/>
        <v>32</v>
      </c>
      <c r="M107" s="142">
        <f>SUM(G107:L107)</f>
        <v>192</v>
      </c>
      <c r="N107" s="143"/>
      <c r="O107" s="49"/>
    </row>
    <row r="108" spans="1:15" ht="16.5" customHeight="1">
      <c r="A108" s="53"/>
      <c r="N108" s="53"/>
    </row>
    <row r="109" spans="1:15" ht="16.5" customHeight="1">
      <c r="A109" s="53"/>
      <c r="N109" s="53"/>
    </row>
    <row r="110" spans="1:15" ht="16.5" customHeight="1">
      <c r="A110" s="53"/>
      <c r="N110" s="53"/>
    </row>
    <row r="111" spans="1:15" ht="16.5" customHeight="1">
      <c r="A111" s="2"/>
      <c r="N111" s="2"/>
    </row>
    <row r="112" spans="1:15" ht="16.5" customHeight="1">
      <c r="A112" s="2"/>
      <c r="N112" s="2"/>
    </row>
    <row r="113" spans="1:14" ht="16.5" customHeight="1">
      <c r="A113" s="2"/>
      <c r="N113" s="2"/>
    </row>
    <row r="114" spans="1:14" ht="16.5" customHeight="1">
      <c r="A114" s="2"/>
      <c r="N114" s="2"/>
    </row>
    <row r="115" spans="1:14" ht="16.5" customHeight="1">
      <c r="A115" s="2"/>
      <c r="N115" s="2"/>
    </row>
    <row r="116" spans="1:14" ht="16.5" customHeight="1">
      <c r="A116" s="2"/>
      <c r="N116" s="2"/>
    </row>
    <row r="117" spans="1:14" ht="16.5" customHeight="1">
      <c r="A117" s="2"/>
      <c r="N117" s="2"/>
    </row>
    <row r="118" spans="1:14" ht="16.5" customHeight="1">
      <c r="A118" s="2"/>
      <c r="N118" s="2"/>
    </row>
    <row r="119" spans="1:14" ht="16.5" customHeight="1">
      <c r="A119" s="2"/>
      <c r="N119" s="2"/>
    </row>
    <row r="120" spans="1:14" ht="16.5" customHeight="1">
      <c r="A120" s="2"/>
      <c r="N120" s="2"/>
    </row>
    <row r="121" spans="1:14" ht="16.5" customHeight="1">
      <c r="A121" s="2"/>
      <c r="N121" s="2"/>
    </row>
    <row r="122" spans="1:14" ht="16.5" customHeight="1">
      <c r="A122" s="2"/>
      <c r="N122" s="2"/>
    </row>
    <row r="123" spans="1:14" ht="16.5" customHeight="1">
      <c r="A123" s="2"/>
      <c r="N123" s="2"/>
    </row>
    <row r="124" spans="1:14" ht="16.5" customHeight="1">
      <c r="A124" s="2"/>
      <c r="N124" s="2"/>
    </row>
    <row r="125" spans="1:14" ht="16.5" customHeight="1">
      <c r="A125" s="2"/>
      <c r="N125" s="2"/>
    </row>
    <row r="126" spans="1:14" ht="16.5" customHeight="1">
      <c r="A126" s="2"/>
      <c r="N126" s="2"/>
    </row>
    <row r="127" spans="1:14" ht="16.5" customHeight="1">
      <c r="A127" s="2"/>
      <c r="N127" s="2"/>
    </row>
    <row r="128" spans="1:14" ht="16.5" customHeight="1">
      <c r="A128" s="2"/>
      <c r="N128" s="2"/>
    </row>
    <row r="129" spans="1:14" ht="16.5" customHeight="1">
      <c r="A129" s="2"/>
      <c r="N129" s="2"/>
    </row>
    <row r="130" spans="1:14" ht="16.5" customHeight="1">
      <c r="A130" s="2"/>
      <c r="N130" s="2"/>
    </row>
    <row r="131" spans="1:14" ht="16.5" customHeight="1">
      <c r="A131" s="2"/>
      <c r="N131" s="2"/>
    </row>
    <row r="132" spans="1:14" ht="16.5" customHeight="1">
      <c r="A132" s="2"/>
      <c r="N132" s="2"/>
    </row>
    <row r="133" spans="1:14" ht="16.5" customHeight="1">
      <c r="A133" s="2"/>
      <c r="N133" s="2"/>
    </row>
    <row r="134" spans="1:14" ht="16.5" customHeight="1">
      <c r="A134" s="2"/>
      <c r="N134" s="2"/>
    </row>
    <row r="135" spans="1:14" ht="16.5" customHeight="1">
      <c r="A135" s="2"/>
      <c r="N135" s="2"/>
    </row>
    <row r="136" spans="1:14" ht="16.5" customHeight="1">
      <c r="A136" s="2"/>
      <c r="N136" s="2"/>
    </row>
    <row r="137" spans="1:14" ht="16.5" customHeight="1">
      <c r="A137" s="2"/>
      <c r="N137" s="2"/>
    </row>
    <row r="138" spans="1:14" ht="16.5" customHeight="1">
      <c r="A138" s="2"/>
      <c r="N138" s="2"/>
    </row>
    <row r="139" spans="1:14" ht="16.5" customHeight="1">
      <c r="A139" s="2"/>
      <c r="N139" s="2"/>
    </row>
    <row r="140" spans="1:14" ht="16.5" customHeight="1">
      <c r="A140" s="2"/>
      <c r="N140" s="2"/>
    </row>
    <row r="141" spans="1:14" ht="16.5" customHeight="1">
      <c r="A141" s="2"/>
      <c r="N141" s="2"/>
    </row>
    <row r="142" spans="1:14" ht="16.5" customHeight="1">
      <c r="A142" s="2"/>
      <c r="N142" s="2"/>
    </row>
    <row r="143" spans="1:14" ht="16.5" customHeight="1">
      <c r="A143" s="2"/>
      <c r="N143" s="2"/>
    </row>
    <row r="144" spans="1:14" ht="16.5" customHeight="1">
      <c r="A144" s="2"/>
      <c r="N144" s="2"/>
    </row>
    <row r="145" spans="1:14" ht="16.5" customHeight="1">
      <c r="A145" s="2"/>
      <c r="N145" s="2"/>
    </row>
    <row r="146" spans="1:14" ht="16.5" customHeight="1">
      <c r="A146" s="2"/>
      <c r="N146" s="2"/>
    </row>
    <row r="147" spans="1:14" ht="16.5" customHeight="1">
      <c r="A147" s="2"/>
      <c r="N147" s="2"/>
    </row>
    <row r="148" spans="1:14" ht="16.5" customHeight="1">
      <c r="A148" s="2"/>
      <c r="N148" s="2"/>
    </row>
    <row r="149" spans="1:14" ht="16.5" customHeight="1">
      <c r="A149" s="2"/>
      <c r="N149" s="2"/>
    </row>
    <row r="150" spans="1:14" ht="16.5" customHeight="1">
      <c r="A150" s="2"/>
      <c r="N150" s="2"/>
    </row>
    <row r="151" spans="1:14" ht="16.5" customHeight="1">
      <c r="A151" s="2"/>
      <c r="N151" s="2"/>
    </row>
    <row r="152" spans="1:14" ht="16.5" customHeight="1">
      <c r="A152" s="2"/>
      <c r="N152" s="2"/>
    </row>
    <row r="153" spans="1:14" ht="16.5" customHeight="1">
      <c r="A153" s="2"/>
      <c r="N153" s="2"/>
    </row>
    <row r="154" spans="1:14" ht="16.5" customHeight="1">
      <c r="A154" s="2"/>
      <c r="N154" s="2"/>
    </row>
    <row r="155" spans="1:14" ht="16.5" customHeight="1">
      <c r="A155" s="2"/>
      <c r="N155" s="2"/>
    </row>
    <row r="156" spans="1:14" ht="16.5" customHeight="1">
      <c r="A156" s="2"/>
      <c r="N156" s="2"/>
    </row>
    <row r="157" spans="1:14" ht="16.5" customHeight="1">
      <c r="A157" s="2"/>
      <c r="N157" s="2"/>
    </row>
    <row r="158" spans="1:14" ht="16.5" customHeight="1">
      <c r="A158" s="2"/>
      <c r="N158" s="2"/>
    </row>
    <row r="159" spans="1:14" ht="16.5" customHeight="1">
      <c r="A159" s="2"/>
      <c r="N159" s="2"/>
    </row>
    <row r="160" spans="1:14" ht="16.5" customHeight="1">
      <c r="A160" s="2"/>
      <c r="N160" s="2"/>
    </row>
    <row r="161" spans="1:14" ht="16.5" customHeight="1">
      <c r="A161" s="2"/>
      <c r="N161" s="2"/>
    </row>
    <row r="162" spans="1:14" ht="16.5" customHeight="1">
      <c r="A162" s="2"/>
      <c r="N162" s="2"/>
    </row>
    <row r="163" spans="1:14" ht="16.5" customHeight="1">
      <c r="A163" s="2"/>
      <c r="N163" s="2"/>
    </row>
    <row r="164" spans="1:14" ht="16.5" customHeight="1">
      <c r="A164" s="2"/>
      <c r="N164" s="2"/>
    </row>
    <row r="165" spans="1:14" ht="16.5" customHeight="1">
      <c r="A165" s="2"/>
      <c r="N165" s="2"/>
    </row>
    <row r="166" spans="1:14" ht="16.5" customHeight="1">
      <c r="A166" s="2"/>
      <c r="N166" s="2"/>
    </row>
    <row r="167" spans="1:14" ht="16.5" customHeight="1">
      <c r="A167" s="2"/>
      <c r="N167" s="2"/>
    </row>
    <row r="168" spans="1:14" ht="16.5" customHeight="1">
      <c r="A168" s="2"/>
      <c r="N168" s="2"/>
    </row>
    <row r="169" spans="1:14" ht="16.5" customHeight="1">
      <c r="A169" s="2"/>
      <c r="N169" s="2"/>
    </row>
    <row r="170" spans="1:14" ht="16.5" customHeight="1">
      <c r="A170" s="2"/>
      <c r="N170" s="2"/>
    </row>
    <row r="171" spans="1:14" ht="16.5" customHeight="1">
      <c r="A171" s="2"/>
      <c r="N171" s="2"/>
    </row>
    <row r="172" spans="1:14" ht="16.5" customHeight="1">
      <c r="A172" s="2"/>
      <c r="N172" s="2"/>
    </row>
    <row r="173" spans="1:14" ht="16.5" customHeight="1">
      <c r="A173" s="2"/>
      <c r="N173" s="2"/>
    </row>
    <row r="174" spans="1:14" ht="16.5" customHeight="1">
      <c r="A174" s="2"/>
      <c r="N174" s="2"/>
    </row>
    <row r="175" spans="1:14" ht="16.5" customHeight="1">
      <c r="A175" s="2"/>
      <c r="N175" s="2"/>
    </row>
    <row r="176" spans="1:14" ht="16.5" customHeight="1">
      <c r="A176" s="2"/>
      <c r="N176" s="2"/>
    </row>
    <row r="177" spans="1:14" ht="16.5" customHeight="1">
      <c r="A177" s="2"/>
      <c r="N177" s="2"/>
    </row>
    <row r="178" spans="1:14" ht="16.5" customHeight="1">
      <c r="A178" s="2"/>
      <c r="N178" s="2"/>
    </row>
    <row r="179" spans="1:14" ht="16.5" customHeight="1">
      <c r="A179" s="2"/>
      <c r="N179" s="2"/>
    </row>
    <row r="180" spans="1:14" ht="16.5" customHeight="1">
      <c r="A180" s="2"/>
      <c r="N180" s="2"/>
    </row>
    <row r="181" spans="1:14" ht="16.5" customHeight="1">
      <c r="A181" s="2"/>
      <c r="N181" s="2"/>
    </row>
    <row r="182" spans="1:14" ht="16.5" customHeight="1">
      <c r="A182" s="2"/>
      <c r="N182" s="2"/>
    </row>
    <row r="183" spans="1:14" ht="16.5" customHeight="1">
      <c r="A183" s="2"/>
      <c r="N183" s="2"/>
    </row>
    <row r="184" spans="1:14" ht="16.5" customHeight="1">
      <c r="A184" s="2"/>
      <c r="N184" s="2"/>
    </row>
    <row r="185" spans="1:14" ht="16.5" customHeight="1">
      <c r="A185" s="2"/>
      <c r="N185" s="2"/>
    </row>
    <row r="186" spans="1:14" ht="16.5" customHeight="1">
      <c r="A186" s="2"/>
      <c r="N186" s="2"/>
    </row>
    <row r="187" spans="1:14" ht="16.5" customHeight="1">
      <c r="A187" s="2"/>
      <c r="N187" s="2"/>
    </row>
    <row r="188" spans="1:14" ht="16.5" customHeight="1">
      <c r="A188" s="2"/>
      <c r="N188" s="2"/>
    </row>
    <row r="189" spans="1:14" ht="16.5" customHeight="1">
      <c r="A189" s="2"/>
      <c r="N189" s="2"/>
    </row>
    <row r="190" spans="1:14" ht="16.5" customHeight="1">
      <c r="A190" s="2"/>
      <c r="N190" s="2"/>
    </row>
    <row r="191" spans="1:14" ht="16.5" customHeight="1">
      <c r="A191" s="2"/>
      <c r="N191" s="2"/>
    </row>
    <row r="192" spans="1:14" ht="16.5" customHeight="1">
      <c r="A192" s="2"/>
      <c r="N192" s="2"/>
    </row>
    <row r="193" spans="1:14" ht="16.5" customHeight="1">
      <c r="A193" s="2"/>
      <c r="N193" s="2"/>
    </row>
    <row r="194" spans="1:14" ht="16.5" customHeight="1">
      <c r="A194" s="2"/>
      <c r="N194" s="2"/>
    </row>
    <row r="195" spans="1:14" ht="16.5" customHeight="1">
      <c r="A195" s="2"/>
      <c r="N195" s="2"/>
    </row>
    <row r="196" spans="1:14" ht="16.5" customHeight="1">
      <c r="A196" s="2"/>
      <c r="N196" s="2"/>
    </row>
    <row r="197" spans="1:14" ht="16.5" customHeight="1">
      <c r="A197" s="2"/>
      <c r="N197" s="2"/>
    </row>
    <row r="198" spans="1:14" ht="16.5" customHeight="1">
      <c r="A198" s="2"/>
      <c r="N198" s="2"/>
    </row>
    <row r="199" spans="1:14" ht="16.5" customHeight="1">
      <c r="A199" s="2"/>
      <c r="N199" s="2"/>
    </row>
    <row r="200" spans="1:14" ht="16.5" customHeight="1">
      <c r="A200" s="2"/>
      <c r="N200" s="2"/>
    </row>
    <row r="201" spans="1:14" ht="16.5" customHeight="1">
      <c r="A201" s="2"/>
      <c r="N201" s="2"/>
    </row>
    <row r="202" spans="1:14" ht="16.5" customHeight="1">
      <c r="A202" s="2"/>
      <c r="N202" s="2"/>
    </row>
    <row r="203" spans="1:14" ht="16.5" customHeight="1">
      <c r="A203" s="2"/>
      <c r="N203" s="2"/>
    </row>
    <row r="204" spans="1:14" ht="16.5" customHeight="1">
      <c r="A204" s="2"/>
      <c r="N204" s="2"/>
    </row>
    <row r="205" spans="1:14" ht="16.5" customHeight="1">
      <c r="A205" s="2"/>
      <c r="N205" s="2"/>
    </row>
    <row r="206" spans="1:14" ht="16.5" customHeight="1">
      <c r="A206" s="2"/>
      <c r="N206" s="2"/>
    </row>
    <row r="207" spans="1:14" ht="16.5" customHeight="1">
      <c r="A207" s="2"/>
      <c r="N207" s="2"/>
    </row>
    <row r="208" spans="1:14" ht="16.5" customHeight="1">
      <c r="A208" s="2"/>
      <c r="N208" s="2"/>
    </row>
    <row r="209" spans="1:14" ht="16.5" customHeight="1">
      <c r="A209" s="2"/>
      <c r="N209" s="2"/>
    </row>
    <row r="210" spans="1:14" ht="16.5" customHeight="1">
      <c r="A210" s="2"/>
      <c r="N210" s="2"/>
    </row>
    <row r="211" spans="1:14" ht="16.5" customHeight="1">
      <c r="A211" s="2"/>
      <c r="N211" s="2"/>
    </row>
    <row r="212" spans="1:14" ht="16.5" customHeight="1">
      <c r="A212" s="2"/>
      <c r="N212" s="2"/>
    </row>
    <row r="213" spans="1:14" ht="16.5" customHeight="1">
      <c r="A213" s="2"/>
      <c r="N213" s="2"/>
    </row>
    <row r="214" spans="1:14" ht="16.5" customHeight="1">
      <c r="A214" s="2"/>
      <c r="N214" s="2"/>
    </row>
    <row r="215" spans="1:14" ht="16.5" customHeight="1">
      <c r="A215" s="2"/>
      <c r="N215" s="2"/>
    </row>
    <row r="216" spans="1:14" ht="16.5" customHeight="1">
      <c r="A216" s="2"/>
      <c r="N216" s="2"/>
    </row>
    <row r="217" spans="1:14" ht="16.5" customHeight="1">
      <c r="A217" s="2"/>
      <c r="N217" s="2"/>
    </row>
    <row r="218" spans="1:14" ht="16.5" customHeight="1">
      <c r="A218" s="2"/>
      <c r="N218" s="2"/>
    </row>
    <row r="219" spans="1:14" ht="16.5" customHeight="1">
      <c r="A219" s="2"/>
      <c r="N219" s="2"/>
    </row>
    <row r="220" spans="1:14" ht="16.5" customHeight="1">
      <c r="A220" s="2"/>
      <c r="N220" s="2"/>
    </row>
    <row r="221" spans="1:14" ht="16.5" customHeight="1">
      <c r="A221" s="2"/>
      <c r="N221" s="2"/>
    </row>
    <row r="222" spans="1:14" ht="16.5" customHeight="1">
      <c r="A222" s="2"/>
      <c r="N222" s="2"/>
    </row>
    <row r="223" spans="1:14" ht="16.5" customHeight="1">
      <c r="A223" s="2"/>
      <c r="N223" s="2"/>
    </row>
    <row r="224" spans="1:14" ht="16.5" customHeight="1">
      <c r="A224" s="2"/>
      <c r="N224" s="2"/>
    </row>
    <row r="225" spans="1:14" ht="16.5" customHeight="1">
      <c r="A225" s="2"/>
      <c r="N225" s="2"/>
    </row>
    <row r="226" spans="1:14" ht="16.5" customHeight="1">
      <c r="A226" s="2"/>
      <c r="N226" s="2"/>
    </row>
    <row r="227" spans="1:14" ht="16.5" customHeight="1">
      <c r="A227" s="2"/>
      <c r="N227" s="2"/>
    </row>
    <row r="228" spans="1:14" ht="16.5" customHeight="1">
      <c r="A228" s="2"/>
      <c r="N228" s="2"/>
    </row>
    <row r="229" spans="1:14" ht="16.5" customHeight="1">
      <c r="A229" s="2"/>
      <c r="N229" s="2"/>
    </row>
    <row r="230" spans="1:14" ht="16.5" customHeight="1">
      <c r="A230" s="2"/>
      <c r="N230" s="2"/>
    </row>
    <row r="231" spans="1:14" ht="16.5" customHeight="1">
      <c r="A231" s="2"/>
      <c r="N231" s="2"/>
    </row>
    <row r="232" spans="1:14" ht="16.5" customHeight="1">
      <c r="A232" s="2"/>
      <c r="N232" s="2"/>
    </row>
    <row r="233" spans="1:14" ht="16.5" customHeight="1">
      <c r="A233" s="2"/>
      <c r="N233" s="2"/>
    </row>
    <row r="234" spans="1:14" ht="16.5" customHeight="1">
      <c r="A234" s="2"/>
      <c r="N234" s="2"/>
    </row>
    <row r="235" spans="1:14" ht="16.5" customHeight="1">
      <c r="A235" s="2"/>
      <c r="N235" s="2"/>
    </row>
    <row r="236" spans="1:14" ht="16.5" customHeight="1">
      <c r="A236" s="2"/>
      <c r="N236" s="2"/>
    </row>
    <row r="237" spans="1:14" ht="16.5" customHeight="1">
      <c r="A237" s="2"/>
      <c r="N237" s="2"/>
    </row>
    <row r="238" spans="1:14" ht="16.5" customHeight="1">
      <c r="A238" s="2"/>
      <c r="N238" s="2"/>
    </row>
    <row r="239" spans="1:14" ht="16.5" customHeight="1">
      <c r="A239" s="2"/>
      <c r="N239" s="2"/>
    </row>
    <row r="240" spans="1:14" ht="16.5" customHeight="1">
      <c r="A240" s="2"/>
      <c r="N240" s="2"/>
    </row>
    <row r="241" spans="1:14" ht="16.5" customHeight="1">
      <c r="A241" s="2"/>
      <c r="N241" s="2"/>
    </row>
    <row r="242" spans="1:14" ht="16.5" customHeight="1">
      <c r="A242" s="2"/>
      <c r="N242" s="2"/>
    </row>
    <row r="243" spans="1:14" ht="16.5" customHeight="1">
      <c r="A243" s="2"/>
      <c r="N243" s="2"/>
    </row>
    <row r="244" spans="1:14" ht="16.5" customHeight="1">
      <c r="A244" s="2"/>
      <c r="N244" s="2"/>
    </row>
    <row r="245" spans="1:14" ht="16.5" customHeight="1">
      <c r="A245" s="2"/>
      <c r="N245" s="2"/>
    </row>
    <row r="246" spans="1:14" ht="16.5" customHeight="1">
      <c r="A246" s="2"/>
      <c r="N246" s="2"/>
    </row>
    <row r="247" spans="1:14" ht="16.5" customHeight="1">
      <c r="A247" s="2"/>
      <c r="N247" s="2"/>
    </row>
    <row r="248" spans="1:14" ht="16.5" customHeight="1">
      <c r="A248" s="2"/>
      <c r="N248" s="2"/>
    </row>
    <row r="249" spans="1:14" ht="16.5" customHeight="1">
      <c r="A249" s="2"/>
      <c r="N249" s="2"/>
    </row>
    <row r="250" spans="1:14" ht="16.5" customHeight="1">
      <c r="A250" s="2"/>
      <c r="N250" s="2"/>
    </row>
    <row r="251" spans="1:14" ht="16.5" customHeight="1">
      <c r="A251" s="2"/>
      <c r="N251" s="2"/>
    </row>
    <row r="252" spans="1:14" ht="16.5" customHeight="1">
      <c r="A252" s="2"/>
      <c r="N252" s="2"/>
    </row>
    <row r="253" spans="1:14" ht="16.5" customHeight="1">
      <c r="A253" s="2"/>
      <c r="N253" s="2"/>
    </row>
    <row r="254" spans="1:14" ht="16.5" customHeight="1">
      <c r="A254" s="2"/>
      <c r="N254" s="2"/>
    </row>
    <row r="255" spans="1:14" ht="16.5" customHeight="1">
      <c r="A255" s="2"/>
      <c r="N255" s="2"/>
    </row>
    <row r="256" spans="1:14" ht="16.5" customHeight="1">
      <c r="A256" s="2"/>
      <c r="N256" s="2"/>
    </row>
    <row r="257" spans="1:14" ht="16.5" customHeight="1">
      <c r="A257" s="2"/>
      <c r="N257" s="2"/>
    </row>
    <row r="258" spans="1:14" ht="16.5" customHeight="1">
      <c r="A258" s="2"/>
      <c r="N258" s="2"/>
    </row>
    <row r="259" spans="1:14" ht="16.5" customHeight="1">
      <c r="A259" s="2"/>
      <c r="N259" s="2"/>
    </row>
    <row r="260" spans="1:14" ht="16.5" customHeight="1">
      <c r="A260" s="2"/>
      <c r="N260" s="2"/>
    </row>
    <row r="261" spans="1:14" ht="16.5" customHeight="1">
      <c r="A261" s="2"/>
      <c r="N261" s="2"/>
    </row>
    <row r="262" spans="1:14" ht="16.5" customHeight="1">
      <c r="A262" s="2"/>
      <c r="N262" s="2"/>
    </row>
    <row r="263" spans="1:14" ht="16.5" customHeight="1">
      <c r="A263" s="2"/>
      <c r="N263" s="2"/>
    </row>
    <row r="264" spans="1:14" ht="16.5" customHeight="1">
      <c r="A264" s="2"/>
      <c r="N264" s="2"/>
    </row>
    <row r="265" spans="1:14" ht="16.5" customHeight="1">
      <c r="A265" s="2"/>
      <c r="N265" s="2"/>
    </row>
    <row r="266" spans="1:14" ht="16.5" customHeight="1">
      <c r="A266" s="2"/>
      <c r="N266" s="2"/>
    </row>
    <row r="267" spans="1:14" ht="16.5" customHeight="1">
      <c r="A267" s="2"/>
      <c r="N267" s="2"/>
    </row>
    <row r="268" spans="1:14" ht="16.5" customHeight="1">
      <c r="A268" s="2"/>
      <c r="N268" s="2"/>
    </row>
    <row r="269" spans="1:14" ht="16.5" customHeight="1">
      <c r="A269" s="2"/>
      <c r="N269" s="2"/>
    </row>
    <row r="270" spans="1:14" ht="16.5" customHeight="1">
      <c r="A270" s="2"/>
      <c r="N270" s="2"/>
    </row>
    <row r="271" spans="1:14" ht="16.5" customHeight="1">
      <c r="A271" s="2"/>
      <c r="N271" s="2"/>
    </row>
    <row r="272" spans="1:14" ht="16.5" customHeight="1">
      <c r="A272" s="2"/>
      <c r="N272" s="2"/>
    </row>
    <row r="273" spans="1:14" ht="16.5" customHeight="1">
      <c r="A273" s="2"/>
      <c r="N273" s="2"/>
    </row>
    <row r="274" spans="1:14" ht="16.5" customHeight="1">
      <c r="A274" s="2"/>
      <c r="N274" s="2"/>
    </row>
    <row r="275" spans="1:14" ht="16.5" customHeight="1">
      <c r="A275" s="2"/>
      <c r="N275" s="2"/>
    </row>
    <row r="276" spans="1:14" ht="16.5" customHeight="1">
      <c r="A276" s="2"/>
      <c r="N276" s="2"/>
    </row>
    <row r="277" spans="1:14" ht="16.5" customHeight="1">
      <c r="A277" s="2"/>
      <c r="N277" s="2"/>
    </row>
    <row r="278" spans="1:14" ht="16.5" customHeight="1">
      <c r="A278" s="2"/>
      <c r="N278" s="2"/>
    </row>
    <row r="279" spans="1:14" ht="16.5" customHeight="1">
      <c r="A279" s="2"/>
      <c r="N279" s="2"/>
    </row>
    <row r="280" spans="1:14" ht="16.5" customHeight="1">
      <c r="A280" s="2"/>
      <c r="N280" s="2"/>
    </row>
    <row r="281" spans="1:14" ht="16.5" customHeight="1">
      <c r="A281" s="2"/>
      <c r="N281" s="2"/>
    </row>
    <row r="282" spans="1:14" ht="16.5" customHeight="1">
      <c r="A282" s="2"/>
      <c r="N282" s="2"/>
    </row>
    <row r="283" spans="1:14" ht="16.5" customHeight="1">
      <c r="A283" s="2"/>
      <c r="N283" s="2"/>
    </row>
    <row r="284" spans="1:14" ht="16.5" customHeight="1">
      <c r="A284" s="2"/>
      <c r="N284" s="2"/>
    </row>
    <row r="285" spans="1:14" ht="16.5" customHeight="1">
      <c r="A285" s="2"/>
      <c r="N285" s="2"/>
    </row>
    <row r="286" spans="1:14" ht="16.5" customHeight="1">
      <c r="A286" s="2"/>
      <c r="N286" s="2"/>
    </row>
    <row r="287" spans="1:14" ht="16.5" customHeight="1">
      <c r="A287" s="2"/>
      <c r="N287" s="2"/>
    </row>
    <row r="288" spans="1:14" ht="16.5" customHeight="1">
      <c r="A288" s="2"/>
      <c r="N288" s="2"/>
    </row>
    <row r="289" spans="1:14" ht="16.5" customHeight="1">
      <c r="A289" s="2"/>
      <c r="N289" s="2"/>
    </row>
    <row r="290" spans="1:14" ht="16.5" customHeight="1">
      <c r="A290" s="2"/>
      <c r="N290" s="2"/>
    </row>
    <row r="291" spans="1:14" ht="16.5" customHeight="1">
      <c r="A291" s="2"/>
      <c r="N291" s="2"/>
    </row>
    <row r="292" spans="1:14" ht="16.5" customHeight="1">
      <c r="A292" s="2"/>
      <c r="N292" s="2"/>
    </row>
    <row r="293" spans="1:14" ht="16.5" customHeight="1">
      <c r="A293" s="2"/>
      <c r="N293" s="2"/>
    </row>
    <row r="294" spans="1:14" ht="16.5" customHeight="1">
      <c r="A294" s="2"/>
      <c r="N294" s="2"/>
    </row>
    <row r="295" spans="1:14" ht="16.5" customHeight="1">
      <c r="A295" s="2"/>
      <c r="N295" s="2"/>
    </row>
    <row r="296" spans="1:14" ht="16.5" customHeight="1">
      <c r="A296" s="2"/>
      <c r="N296" s="2"/>
    </row>
    <row r="297" spans="1:14" ht="16.5" customHeight="1">
      <c r="A297" s="2"/>
      <c r="N297" s="2"/>
    </row>
    <row r="298" spans="1:14" ht="16.5" customHeight="1">
      <c r="A298" s="2"/>
      <c r="N298" s="2"/>
    </row>
    <row r="299" spans="1:14" ht="16.5" customHeight="1">
      <c r="A299" s="2"/>
      <c r="N299" s="2"/>
    </row>
    <row r="300" spans="1:14" ht="16.5" customHeight="1">
      <c r="A300" s="2"/>
      <c r="N300" s="2"/>
    </row>
    <row r="301" spans="1:14" ht="16.5" customHeight="1">
      <c r="A301" s="2"/>
      <c r="N301" s="2"/>
    </row>
    <row r="302" spans="1:14" ht="16.5" customHeight="1">
      <c r="A302" s="2"/>
      <c r="N302" s="2"/>
    </row>
    <row r="303" spans="1:14" ht="16.5" customHeight="1">
      <c r="A303" s="2"/>
      <c r="N303" s="2"/>
    </row>
    <row r="304" spans="1:14" ht="16.5" customHeight="1">
      <c r="A304" s="2"/>
      <c r="N304" s="2"/>
    </row>
    <row r="305" spans="1:14" ht="16.5" customHeight="1">
      <c r="A305" s="2"/>
      <c r="N305" s="2"/>
    </row>
    <row r="306" spans="1:14" ht="16.5" customHeight="1">
      <c r="A306" s="2"/>
      <c r="N306" s="2"/>
    </row>
    <row r="307" spans="1:14" ht="16.5" customHeight="1">
      <c r="A307" s="2"/>
      <c r="N307" s="2"/>
    </row>
    <row r="308" spans="1:14" ht="16.5" customHeight="1">
      <c r="A308" s="2"/>
      <c r="N308" s="2"/>
    </row>
    <row r="309" spans="1:14" ht="16.5" customHeight="1">
      <c r="A309" s="2"/>
      <c r="N309" s="2"/>
    </row>
    <row r="310" spans="1:14" ht="16.5" customHeight="1">
      <c r="A310" s="2"/>
      <c r="N310" s="2"/>
    </row>
    <row r="311" spans="1:14" ht="16.5" customHeight="1">
      <c r="A311" s="2"/>
      <c r="N311" s="2"/>
    </row>
    <row r="312" spans="1:14" ht="16.5" customHeight="1">
      <c r="A312" s="2"/>
      <c r="N312" s="2"/>
    </row>
    <row r="313" spans="1:14" ht="16.5" customHeight="1">
      <c r="A313" s="2"/>
      <c r="N313" s="2"/>
    </row>
    <row r="314" spans="1:14" ht="16.5" customHeight="1">
      <c r="A314" s="2"/>
      <c r="N314" s="2"/>
    </row>
    <row r="315" spans="1:14" ht="16.5" customHeight="1">
      <c r="A315" s="2"/>
      <c r="N315" s="2"/>
    </row>
    <row r="316" spans="1:14" ht="16.5" customHeight="1">
      <c r="A316" s="2"/>
      <c r="N316" s="2"/>
    </row>
    <row r="317" spans="1:14" ht="16.5" customHeight="1">
      <c r="A317" s="2"/>
      <c r="N317" s="2"/>
    </row>
    <row r="318" spans="1:14" ht="16.5" customHeight="1">
      <c r="A318" s="2"/>
      <c r="N318" s="2"/>
    </row>
    <row r="319" spans="1:14" ht="16.5" customHeight="1">
      <c r="A319" s="2"/>
      <c r="N319" s="2"/>
    </row>
    <row r="320" spans="1:14" ht="16.5" customHeight="1">
      <c r="A320" s="2"/>
      <c r="N320" s="2"/>
    </row>
    <row r="321" spans="1:14" ht="16.5" customHeight="1">
      <c r="A321" s="2"/>
      <c r="N321" s="2"/>
    </row>
    <row r="322" spans="1:14" ht="16.5" customHeight="1">
      <c r="A322" s="2"/>
      <c r="N322" s="2"/>
    </row>
    <row r="323" spans="1:14" ht="16.5" customHeight="1">
      <c r="A323" s="2"/>
      <c r="N323" s="2"/>
    </row>
    <row r="324" spans="1:14" ht="16.5" customHeight="1">
      <c r="A324" s="2"/>
      <c r="N324" s="2"/>
    </row>
    <row r="325" spans="1:14" ht="16.5" customHeight="1">
      <c r="A325" s="2"/>
      <c r="N325" s="2"/>
    </row>
    <row r="326" spans="1:14" ht="16.5" customHeight="1">
      <c r="A326" s="2"/>
      <c r="N326" s="2"/>
    </row>
    <row r="327" spans="1:14" ht="16.5" customHeight="1">
      <c r="A327" s="2"/>
      <c r="N327" s="2"/>
    </row>
    <row r="328" spans="1:14" ht="16.5" customHeight="1">
      <c r="A328" s="2"/>
      <c r="N328" s="2"/>
    </row>
    <row r="329" spans="1:14" ht="16.5" customHeight="1">
      <c r="A329" s="2"/>
      <c r="N329" s="2"/>
    </row>
    <row r="330" spans="1:14" ht="16.5" customHeight="1">
      <c r="A330" s="2"/>
      <c r="N330" s="2"/>
    </row>
    <row r="331" spans="1:14" ht="16.5" customHeight="1">
      <c r="A331" s="2"/>
      <c r="N331" s="2"/>
    </row>
    <row r="332" spans="1:14" ht="16.5" customHeight="1">
      <c r="A332" s="2"/>
      <c r="N332" s="2"/>
    </row>
    <row r="333" spans="1:14" ht="16.5" customHeight="1">
      <c r="A333" s="2"/>
      <c r="N333" s="2"/>
    </row>
    <row r="334" spans="1:14" ht="16.5" customHeight="1">
      <c r="A334" s="2"/>
      <c r="N334" s="2"/>
    </row>
    <row r="335" spans="1:14" ht="16.5" customHeight="1">
      <c r="A335" s="2"/>
      <c r="N335" s="2"/>
    </row>
    <row r="336" spans="1:14" ht="16.5" customHeight="1">
      <c r="A336" s="2"/>
      <c r="N336" s="2"/>
    </row>
    <row r="337" spans="1:14" ht="16.5" customHeight="1">
      <c r="A337" s="2"/>
      <c r="N337" s="2"/>
    </row>
    <row r="338" spans="1:14" ht="16.5" customHeight="1">
      <c r="A338" s="2"/>
      <c r="N338" s="2"/>
    </row>
    <row r="339" spans="1:14" ht="16.5" customHeight="1">
      <c r="A339" s="2"/>
      <c r="N339" s="2"/>
    </row>
    <row r="340" spans="1:14" ht="16.5" customHeight="1">
      <c r="A340" s="2"/>
      <c r="N340" s="2"/>
    </row>
    <row r="341" spans="1:14" ht="16.5" customHeight="1">
      <c r="A341" s="2"/>
      <c r="N341" s="2"/>
    </row>
    <row r="342" spans="1:14" ht="16.5" customHeight="1">
      <c r="A342" s="2"/>
      <c r="N342" s="2"/>
    </row>
    <row r="343" spans="1:14" ht="16.5" customHeight="1">
      <c r="A343" s="2"/>
      <c r="N343" s="2"/>
    </row>
    <row r="344" spans="1:14" ht="16.5" customHeight="1">
      <c r="A344" s="2"/>
      <c r="N344" s="2"/>
    </row>
    <row r="345" spans="1:14" ht="16.5" customHeight="1">
      <c r="A345" s="2"/>
      <c r="N345" s="2"/>
    </row>
    <row r="346" spans="1:14" ht="16.5" customHeight="1">
      <c r="A346" s="2"/>
      <c r="N346" s="2"/>
    </row>
    <row r="347" spans="1:14" ht="16.5" customHeight="1">
      <c r="A347" s="2"/>
      <c r="N347" s="2"/>
    </row>
    <row r="348" spans="1:14" ht="16.5" customHeight="1">
      <c r="A348" s="2"/>
      <c r="N348" s="2"/>
    </row>
    <row r="349" spans="1:14" ht="16.5" customHeight="1">
      <c r="A349" s="2"/>
      <c r="N349" s="2"/>
    </row>
    <row r="350" spans="1:14" ht="16.5" customHeight="1">
      <c r="A350" s="2"/>
      <c r="N350" s="2"/>
    </row>
    <row r="351" spans="1:14" ht="16.5" customHeight="1">
      <c r="A351" s="2"/>
      <c r="N351" s="2"/>
    </row>
    <row r="352" spans="1:14" ht="16.5" customHeight="1">
      <c r="A352" s="2"/>
      <c r="N352" s="2"/>
    </row>
    <row r="353" spans="1:14" ht="16.5" customHeight="1">
      <c r="A353" s="2"/>
      <c r="N353" s="2"/>
    </row>
    <row r="354" spans="1:14" ht="16.5" customHeight="1">
      <c r="A354" s="2"/>
      <c r="N354" s="2"/>
    </row>
    <row r="355" spans="1:14" ht="16.5" customHeight="1">
      <c r="A355" s="2"/>
      <c r="N355" s="2"/>
    </row>
    <row r="356" spans="1:14" ht="16.5" customHeight="1">
      <c r="A356" s="2"/>
      <c r="N356" s="2"/>
    </row>
    <row r="357" spans="1:14" ht="16.5" customHeight="1">
      <c r="A357" s="2"/>
      <c r="N357" s="2"/>
    </row>
    <row r="358" spans="1:14" ht="16.5" customHeight="1">
      <c r="A358" s="2"/>
      <c r="N358" s="2"/>
    </row>
    <row r="359" spans="1:14" ht="16.5" customHeight="1">
      <c r="A359" s="2"/>
      <c r="N359" s="2"/>
    </row>
    <row r="360" spans="1:14" ht="16.5" customHeight="1">
      <c r="A360" s="2"/>
      <c r="N360" s="2"/>
    </row>
    <row r="361" spans="1:14" ht="16.5" customHeight="1">
      <c r="A361" s="2"/>
      <c r="N361" s="2"/>
    </row>
    <row r="362" spans="1:14" ht="16.5" customHeight="1">
      <c r="A362" s="2"/>
      <c r="N362" s="2"/>
    </row>
    <row r="363" spans="1:14" ht="16.5" customHeight="1">
      <c r="A363" s="2"/>
      <c r="N363" s="2"/>
    </row>
    <row r="364" spans="1:14" ht="16.5" customHeight="1">
      <c r="A364" s="2"/>
      <c r="N364" s="2"/>
    </row>
    <row r="365" spans="1:14" ht="16.5" customHeight="1">
      <c r="A365" s="2"/>
      <c r="N365" s="2"/>
    </row>
    <row r="366" spans="1:14" ht="16.5" customHeight="1">
      <c r="A366" s="2"/>
      <c r="N366" s="2"/>
    </row>
    <row r="367" spans="1:14" ht="16.5" customHeight="1">
      <c r="A367" s="2"/>
      <c r="N367" s="2"/>
    </row>
    <row r="368" spans="1:14" ht="16.5" customHeight="1">
      <c r="A368" s="2"/>
      <c r="N368" s="2"/>
    </row>
    <row r="369" spans="1:14" ht="16.5" customHeight="1">
      <c r="A369" s="2"/>
      <c r="N369" s="2"/>
    </row>
    <row r="370" spans="1:14" ht="16.5" customHeight="1">
      <c r="A370" s="2"/>
      <c r="N370" s="2"/>
    </row>
    <row r="371" spans="1:14" ht="16.5" customHeight="1">
      <c r="A371" s="2"/>
      <c r="N371" s="2"/>
    </row>
    <row r="372" spans="1:14" ht="16.5" customHeight="1">
      <c r="A372" s="2"/>
      <c r="N372" s="2"/>
    </row>
    <row r="373" spans="1:14" ht="16.5" customHeight="1">
      <c r="A373" s="2"/>
      <c r="N373" s="2"/>
    </row>
    <row r="374" spans="1:14" ht="16.5" customHeight="1">
      <c r="A374" s="2"/>
      <c r="N374" s="2"/>
    </row>
    <row r="375" spans="1:14" ht="16.5" customHeight="1">
      <c r="A375" s="2"/>
      <c r="N375" s="2"/>
    </row>
    <row r="376" spans="1:14" ht="16.5" customHeight="1">
      <c r="A376" s="2"/>
      <c r="N376" s="2"/>
    </row>
    <row r="377" spans="1:14" ht="16.5" customHeight="1">
      <c r="A377" s="2"/>
      <c r="N377" s="2"/>
    </row>
    <row r="378" spans="1:14" ht="16.5" customHeight="1">
      <c r="A378" s="2"/>
      <c r="N378" s="2"/>
    </row>
    <row r="379" spans="1:14" ht="16.5" customHeight="1">
      <c r="A379" s="2"/>
      <c r="N379" s="2"/>
    </row>
    <row r="380" spans="1:14" ht="16.5" customHeight="1">
      <c r="A380" s="2"/>
      <c r="N380" s="2"/>
    </row>
    <row r="381" spans="1:14" ht="16.5" customHeight="1">
      <c r="A381" s="2"/>
      <c r="N381" s="2"/>
    </row>
    <row r="382" spans="1:14" ht="16.5" customHeight="1">
      <c r="A382" s="2"/>
      <c r="N382" s="2"/>
    </row>
    <row r="383" spans="1:14" ht="16.5" customHeight="1">
      <c r="A383" s="2"/>
      <c r="N383" s="2"/>
    </row>
    <row r="384" spans="1:14" ht="16.5" customHeight="1">
      <c r="A384" s="2"/>
      <c r="N384" s="2"/>
    </row>
    <row r="385" spans="1:14" ht="16.5" customHeight="1">
      <c r="A385" s="2"/>
      <c r="N385" s="2"/>
    </row>
    <row r="386" spans="1:14" ht="16.5" customHeight="1">
      <c r="A386" s="2"/>
      <c r="N386" s="2"/>
    </row>
    <row r="387" spans="1:14" ht="16.5" customHeight="1">
      <c r="A387" s="2"/>
      <c r="N387" s="2"/>
    </row>
    <row r="388" spans="1:14" ht="16.5" customHeight="1">
      <c r="A388" s="2"/>
      <c r="N388" s="2"/>
    </row>
    <row r="389" spans="1:14" ht="16.5" customHeight="1">
      <c r="A389" s="2"/>
      <c r="N389" s="2"/>
    </row>
    <row r="390" spans="1:14" ht="16.5" customHeight="1">
      <c r="A390" s="2"/>
      <c r="N390" s="2"/>
    </row>
    <row r="391" spans="1:14" ht="16.5" customHeight="1">
      <c r="A391" s="2"/>
      <c r="N391" s="2"/>
    </row>
    <row r="392" spans="1:14" ht="16.5" customHeight="1">
      <c r="A392" s="2"/>
      <c r="N392" s="2"/>
    </row>
    <row r="393" spans="1:14" ht="16.5" customHeight="1">
      <c r="A393" s="2"/>
      <c r="N393" s="2"/>
    </row>
    <row r="394" spans="1:14" ht="16.5" customHeight="1">
      <c r="A394" s="2"/>
      <c r="N394" s="2"/>
    </row>
    <row r="395" spans="1:14" ht="16.5" customHeight="1">
      <c r="A395" s="2"/>
      <c r="N395" s="2"/>
    </row>
    <row r="396" spans="1:14" ht="16.5" customHeight="1">
      <c r="A396" s="2"/>
      <c r="N396" s="2"/>
    </row>
    <row r="397" spans="1:14" ht="16.5" customHeight="1">
      <c r="A397" s="2"/>
      <c r="N397" s="2"/>
    </row>
    <row r="398" spans="1:14" ht="16.5" customHeight="1">
      <c r="A398" s="2"/>
      <c r="N398" s="2"/>
    </row>
    <row r="399" spans="1:14" ht="16.5" customHeight="1">
      <c r="A399" s="2"/>
      <c r="N399" s="2"/>
    </row>
    <row r="400" spans="1:14" ht="16.5" customHeight="1">
      <c r="A400" s="2"/>
      <c r="N400" s="2"/>
    </row>
    <row r="401" spans="1:14" ht="16.5" customHeight="1">
      <c r="A401" s="2"/>
      <c r="N401" s="2"/>
    </row>
    <row r="402" spans="1:14" ht="16.5" customHeight="1">
      <c r="A402" s="2"/>
      <c r="N402" s="2"/>
    </row>
    <row r="403" spans="1:14" ht="16.5" customHeight="1">
      <c r="A403" s="2"/>
      <c r="N403" s="2"/>
    </row>
    <row r="404" spans="1:14" ht="16.5" customHeight="1">
      <c r="A404" s="2"/>
      <c r="N404" s="2"/>
    </row>
    <row r="405" spans="1:14" ht="16.5" customHeight="1">
      <c r="A405" s="2"/>
      <c r="N405" s="2"/>
    </row>
    <row r="406" spans="1:14" ht="16.5" customHeight="1">
      <c r="A406" s="2"/>
      <c r="N406" s="2"/>
    </row>
    <row r="407" spans="1:14" ht="16.5" customHeight="1">
      <c r="A407" s="2"/>
      <c r="N407" s="2"/>
    </row>
    <row r="408" spans="1:14" ht="16.5" customHeight="1">
      <c r="A408" s="2"/>
      <c r="N408" s="2"/>
    </row>
    <row r="409" spans="1:14" ht="16.5" customHeight="1">
      <c r="A409" s="2"/>
      <c r="N409" s="2"/>
    </row>
    <row r="410" spans="1:14" ht="16.5" customHeight="1">
      <c r="A410" s="2"/>
      <c r="N410" s="2"/>
    </row>
    <row r="411" spans="1:14" ht="16.5" customHeight="1">
      <c r="A411" s="2"/>
      <c r="N411" s="2"/>
    </row>
    <row r="412" spans="1:14" ht="16.5" customHeight="1">
      <c r="A412" s="2"/>
      <c r="N412" s="2"/>
    </row>
    <row r="413" spans="1:14" ht="16.5" customHeight="1">
      <c r="A413" s="2"/>
      <c r="N413" s="2"/>
    </row>
    <row r="414" spans="1:14" ht="16.5" customHeight="1">
      <c r="A414" s="2"/>
      <c r="N414" s="2"/>
    </row>
    <row r="415" spans="1:14" ht="16.5" customHeight="1">
      <c r="A415" s="2"/>
      <c r="N415" s="2"/>
    </row>
    <row r="416" spans="1:14" ht="16.5" customHeight="1">
      <c r="A416" s="2"/>
      <c r="N416" s="2"/>
    </row>
    <row r="417" spans="1:14" ht="16.5" customHeight="1">
      <c r="A417" s="2"/>
      <c r="N417" s="2"/>
    </row>
    <row r="418" spans="1:14" ht="16.5" customHeight="1">
      <c r="A418" s="2"/>
      <c r="N418" s="2"/>
    </row>
    <row r="419" spans="1:14" ht="16.5" customHeight="1">
      <c r="A419" s="2"/>
      <c r="N419" s="2"/>
    </row>
    <row r="420" spans="1:14" ht="16.5" customHeight="1">
      <c r="A420" s="2"/>
      <c r="N420" s="2"/>
    </row>
    <row r="421" spans="1:14" ht="16.5" customHeight="1">
      <c r="A421" s="2"/>
      <c r="N421" s="2"/>
    </row>
    <row r="422" spans="1:14" ht="16.5" customHeight="1">
      <c r="A422" s="2"/>
      <c r="N422" s="2"/>
    </row>
    <row r="423" spans="1:14" ht="16.5" customHeight="1">
      <c r="A423" s="2"/>
      <c r="N423" s="2"/>
    </row>
    <row r="424" spans="1:14" ht="16.5" customHeight="1">
      <c r="A424" s="2"/>
      <c r="N424" s="2"/>
    </row>
    <row r="425" spans="1:14" ht="16.5" customHeight="1">
      <c r="A425" s="2"/>
      <c r="N425" s="2"/>
    </row>
    <row r="426" spans="1:14" ht="16.5" customHeight="1">
      <c r="A426" s="2"/>
      <c r="N426" s="2"/>
    </row>
    <row r="427" spans="1:14" ht="16.5" customHeight="1">
      <c r="A427" s="2"/>
      <c r="N427" s="2"/>
    </row>
    <row r="428" spans="1:14" ht="16.5" customHeight="1">
      <c r="A428" s="2"/>
      <c r="N428" s="2"/>
    </row>
    <row r="429" spans="1:14" ht="16.5" customHeight="1">
      <c r="A429" s="2"/>
      <c r="N429" s="2"/>
    </row>
    <row r="430" spans="1:14" ht="16.5" customHeight="1">
      <c r="A430" s="2"/>
      <c r="N430" s="2"/>
    </row>
    <row r="431" spans="1:14" ht="16.5" customHeight="1">
      <c r="A431" s="2"/>
      <c r="N431" s="2"/>
    </row>
    <row r="432" spans="1:14" ht="16.5" customHeight="1">
      <c r="A432" s="2"/>
      <c r="N432" s="2"/>
    </row>
    <row r="433" spans="1:14" ht="16.5" customHeight="1">
      <c r="A433" s="2"/>
      <c r="N433" s="2"/>
    </row>
    <row r="434" spans="1:14" ht="16.5" customHeight="1">
      <c r="A434" s="2"/>
      <c r="N434" s="2"/>
    </row>
    <row r="435" spans="1:14" ht="16.5" customHeight="1">
      <c r="A435" s="2"/>
      <c r="N435" s="2"/>
    </row>
    <row r="436" spans="1:14" ht="16.5" customHeight="1">
      <c r="A436" s="2"/>
      <c r="N436" s="2"/>
    </row>
    <row r="437" spans="1:14" ht="16.5" customHeight="1">
      <c r="A437" s="2"/>
      <c r="N437" s="2"/>
    </row>
    <row r="438" spans="1:14" ht="16.5" customHeight="1">
      <c r="A438" s="2"/>
      <c r="N438" s="2"/>
    </row>
    <row r="439" spans="1:14" ht="16.5" customHeight="1">
      <c r="A439" s="2"/>
      <c r="N439" s="2"/>
    </row>
    <row r="440" spans="1:14" ht="16.5" customHeight="1">
      <c r="A440" s="2"/>
      <c r="N440" s="2"/>
    </row>
    <row r="441" spans="1:14" ht="16.5" customHeight="1">
      <c r="A441" s="2"/>
      <c r="N441" s="2"/>
    </row>
    <row r="442" spans="1:14" ht="16.5" customHeight="1">
      <c r="A442" s="2"/>
      <c r="N442" s="2"/>
    </row>
    <row r="443" spans="1:14" ht="16.5" customHeight="1">
      <c r="A443" s="2"/>
      <c r="N443" s="2"/>
    </row>
    <row r="444" spans="1:14" ht="16.5" customHeight="1">
      <c r="A444" s="2"/>
      <c r="N444" s="2"/>
    </row>
    <row r="445" spans="1:14" ht="16.5" customHeight="1">
      <c r="A445" s="2"/>
      <c r="N445" s="2"/>
    </row>
    <row r="446" spans="1:14" ht="16.5" customHeight="1">
      <c r="A446" s="2"/>
      <c r="N446" s="2"/>
    </row>
    <row r="447" spans="1:14" ht="16.5" customHeight="1">
      <c r="A447" s="2"/>
      <c r="N447" s="2"/>
    </row>
    <row r="448" spans="1:14" ht="16.5" customHeight="1">
      <c r="A448" s="2"/>
      <c r="N448" s="2"/>
    </row>
    <row r="449" spans="1:14" ht="16.5" customHeight="1">
      <c r="A449" s="2"/>
      <c r="N449" s="2"/>
    </row>
    <row r="450" spans="1:14" ht="16.5" customHeight="1">
      <c r="A450" s="2"/>
      <c r="N450" s="2"/>
    </row>
    <row r="451" spans="1:14" ht="16.5" customHeight="1">
      <c r="A451" s="2"/>
      <c r="N451" s="2"/>
    </row>
    <row r="452" spans="1:14" ht="16.5" customHeight="1">
      <c r="A452" s="2"/>
      <c r="N452" s="2"/>
    </row>
    <row r="453" spans="1:14" ht="16.5" customHeight="1">
      <c r="A453" s="2"/>
      <c r="N453" s="2"/>
    </row>
    <row r="454" spans="1:14" ht="16.5" customHeight="1">
      <c r="A454" s="2"/>
      <c r="N454" s="2"/>
    </row>
    <row r="455" spans="1:14" ht="16.5" customHeight="1">
      <c r="A455" s="2"/>
      <c r="N455" s="2"/>
    </row>
    <row r="456" spans="1:14" ht="16.5" customHeight="1">
      <c r="A456" s="2"/>
      <c r="N456" s="2"/>
    </row>
    <row r="457" spans="1:14" ht="16.5" customHeight="1">
      <c r="A457" s="2"/>
      <c r="N457" s="2"/>
    </row>
    <row r="458" spans="1:14" ht="16.5" customHeight="1">
      <c r="A458" s="2"/>
      <c r="N458" s="2"/>
    </row>
    <row r="459" spans="1:14" ht="16.5" customHeight="1">
      <c r="A459" s="2"/>
      <c r="N459" s="2"/>
    </row>
    <row r="460" spans="1:14" ht="16.5" customHeight="1">
      <c r="A460" s="2"/>
      <c r="N460" s="2"/>
    </row>
    <row r="461" spans="1:14" ht="16.5" customHeight="1">
      <c r="A461" s="2"/>
      <c r="N461" s="2"/>
    </row>
    <row r="462" spans="1:14" ht="16.5" customHeight="1">
      <c r="A462" s="2"/>
      <c r="N462" s="2"/>
    </row>
    <row r="463" spans="1:14" ht="16.5" customHeight="1">
      <c r="A463" s="2"/>
      <c r="N463" s="2"/>
    </row>
    <row r="464" spans="1:14" ht="16.5" customHeight="1">
      <c r="A464" s="2"/>
      <c r="N464" s="2"/>
    </row>
    <row r="465" spans="1:14" ht="16.5" customHeight="1">
      <c r="A465" s="2"/>
      <c r="N465" s="2"/>
    </row>
    <row r="466" spans="1:14" ht="16.5" customHeight="1">
      <c r="A466" s="2"/>
      <c r="N466" s="2"/>
    </row>
    <row r="467" spans="1:14" ht="16.5" customHeight="1">
      <c r="A467" s="2"/>
      <c r="N467" s="2"/>
    </row>
    <row r="468" spans="1:14" ht="16.5" customHeight="1">
      <c r="A468" s="2"/>
      <c r="N468" s="2"/>
    </row>
    <row r="469" spans="1:14" ht="16.5" customHeight="1">
      <c r="A469" s="2"/>
      <c r="N469" s="2"/>
    </row>
    <row r="470" spans="1:14" ht="16.5" customHeight="1">
      <c r="A470" s="2"/>
      <c r="N470" s="2"/>
    </row>
    <row r="471" spans="1:14" ht="16.5" customHeight="1">
      <c r="A471" s="2"/>
      <c r="N471" s="2"/>
    </row>
    <row r="472" spans="1:14" ht="16.5" customHeight="1">
      <c r="A472" s="2"/>
      <c r="N472" s="2"/>
    </row>
    <row r="473" spans="1:14" ht="16.5" customHeight="1">
      <c r="A473" s="2"/>
      <c r="N473" s="2"/>
    </row>
    <row r="474" spans="1:14" ht="16.5" customHeight="1">
      <c r="A474" s="2"/>
      <c r="N474" s="2"/>
    </row>
    <row r="475" spans="1:14" ht="16.5" customHeight="1">
      <c r="A475" s="2"/>
      <c r="N475" s="2"/>
    </row>
    <row r="476" spans="1:14" ht="16.5" customHeight="1">
      <c r="A476" s="2"/>
      <c r="N476" s="2"/>
    </row>
    <row r="477" spans="1:14" ht="16.5" customHeight="1">
      <c r="A477" s="2"/>
      <c r="N477" s="2"/>
    </row>
    <row r="478" spans="1:14" ht="16.5" customHeight="1">
      <c r="A478" s="2"/>
      <c r="N478" s="2"/>
    </row>
    <row r="479" spans="1:14" ht="16.5" customHeight="1">
      <c r="A479" s="2"/>
      <c r="N479" s="2"/>
    </row>
    <row r="480" spans="1:14" ht="16.5" customHeight="1">
      <c r="A480" s="2"/>
      <c r="N480" s="2"/>
    </row>
    <row r="481" spans="1:14" ht="16.5" customHeight="1">
      <c r="A481" s="2"/>
      <c r="N481" s="2"/>
    </row>
    <row r="482" spans="1:14" ht="16.5" customHeight="1">
      <c r="A482" s="2"/>
      <c r="N482" s="2"/>
    </row>
    <row r="483" spans="1:14" ht="16.5" customHeight="1">
      <c r="A483" s="2"/>
      <c r="N483" s="2"/>
    </row>
    <row r="484" spans="1:14" ht="16.5" customHeight="1">
      <c r="A484" s="2"/>
      <c r="N484" s="2"/>
    </row>
    <row r="485" spans="1:14" ht="16.5" customHeight="1">
      <c r="A485" s="2"/>
      <c r="N485" s="2"/>
    </row>
    <row r="486" spans="1:14" ht="16.5" customHeight="1">
      <c r="A486" s="2"/>
      <c r="N486" s="2"/>
    </row>
    <row r="487" spans="1:14" ht="16.5" customHeight="1">
      <c r="A487" s="2"/>
      <c r="N487" s="2"/>
    </row>
    <row r="488" spans="1:14" ht="16.5" customHeight="1">
      <c r="A488" s="2"/>
      <c r="N488" s="2"/>
    </row>
    <row r="489" spans="1:14" ht="16.5" customHeight="1">
      <c r="A489" s="2"/>
      <c r="N489" s="2"/>
    </row>
    <row r="490" spans="1:14" ht="16.5" customHeight="1">
      <c r="A490" s="2"/>
      <c r="N490" s="2"/>
    </row>
    <row r="491" spans="1:14" ht="16.5" customHeight="1">
      <c r="A491" s="2"/>
      <c r="N491" s="2"/>
    </row>
    <row r="492" spans="1:14" ht="16.5" customHeight="1">
      <c r="A492" s="2"/>
      <c r="N492" s="2"/>
    </row>
    <row r="493" spans="1:14" ht="16.5" customHeight="1">
      <c r="A493" s="2"/>
      <c r="N493" s="2"/>
    </row>
    <row r="494" spans="1:14" ht="16.5" customHeight="1">
      <c r="A494" s="2"/>
      <c r="N494" s="2"/>
    </row>
    <row r="495" spans="1:14" ht="16.5" customHeight="1">
      <c r="A495" s="2"/>
      <c r="N495" s="2"/>
    </row>
    <row r="496" spans="1:14" ht="16.5" customHeight="1">
      <c r="A496" s="2"/>
      <c r="N496" s="2"/>
    </row>
    <row r="497" spans="1:14" ht="16.5" customHeight="1">
      <c r="A497" s="2"/>
      <c r="N497" s="2"/>
    </row>
    <row r="498" spans="1:14" ht="16.5" customHeight="1">
      <c r="A498" s="2"/>
      <c r="N498" s="2"/>
    </row>
    <row r="499" spans="1:14" ht="16.5" customHeight="1">
      <c r="A499" s="2"/>
      <c r="N499" s="2"/>
    </row>
    <row r="500" spans="1:14" ht="16.5" customHeight="1">
      <c r="A500" s="2"/>
      <c r="N500" s="2"/>
    </row>
    <row r="501" spans="1:14" ht="16.5" customHeight="1">
      <c r="A501" s="2"/>
      <c r="N501" s="2"/>
    </row>
    <row r="502" spans="1:14" ht="16.5" customHeight="1">
      <c r="A502" s="2"/>
      <c r="N502" s="2"/>
    </row>
    <row r="503" spans="1:14" ht="16.5" customHeight="1">
      <c r="A503" s="2"/>
      <c r="N503" s="2"/>
    </row>
    <row r="504" spans="1:14" ht="16.5" customHeight="1">
      <c r="A504" s="2"/>
      <c r="N504" s="2"/>
    </row>
    <row r="505" spans="1:14" ht="16.5" customHeight="1">
      <c r="A505" s="2"/>
      <c r="N505" s="2"/>
    </row>
    <row r="506" spans="1:14" ht="16.5" customHeight="1">
      <c r="A506" s="2"/>
      <c r="N506" s="2"/>
    </row>
    <row r="507" spans="1:14" ht="16.5" customHeight="1">
      <c r="A507" s="2"/>
      <c r="N507" s="2"/>
    </row>
    <row r="508" spans="1:14" ht="16.5" customHeight="1">
      <c r="A508" s="2"/>
      <c r="N508" s="2"/>
    </row>
    <row r="509" spans="1:14" ht="16.5" customHeight="1">
      <c r="A509" s="2"/>
      <c r="N509" s="2"/>
    </row>
    <row r="510" spans="1:14" ht="16.5" customHeight="1">
      <c r="A510" s="2"/>
      <c r="N510" s="2"/>
    </row>
    <row r="511" spans="1:14" ht="16.5" customHeight="1">
      <c r="A511" s="2"/>
      <c r="N511" s="2"/>
    </row>
    <row r="512" spans="1:14" ht="16.5" customHeight="1">
      <c r="A512" s="2"/>
      <c r="N512" s="2"/>
    </row>
    <row r="513" spans="1:14" ht="16.5" customHeight="1">
      <c r="A513" s="2"/>
      <c r="N513" s="2"/>
    </row>
    <row r="514" spans="1:14" ht="16.5" customHeight="1">
      <c r="A514" s="2"/>
      <c r="N514" s="2"/>
    </row>
    <row r="515" spans="1:14" ht="16.5" customHeight="1">
      <c r="A515" s="2"/>
      <c r="N515" s="2"/>
    </row>
    <row r="516" spans="1:14" ht="16.5" customHeight="1">
      <c r="A516" s="2"/>
      <c r="N516" s="2"/>
    </row>
    <row r="517" spans="1:14" ht="16.5" customHeight="1">
      <c r="A517" s="2"/>
      <c r="N517" s="2"/>
    </row>
    <row r="518" spans="1:14" ht="16.5" customHeight="1">
      <c r="A518" s="2"/>
      <c r="N518" s="2"/>
    </row>
    <row r="519" spans="1:14" ht="16.5" customHeight="1">
      <c r="A519" s="2"/>
      <c r="N519" s="2"/>
    </row>
    <row r="520" spans="1:14" ht="16.5" customHeight="1">
      <c r="A520" s="2"/>
      <c r="N520" s="2"/>
    </row>
    <row r="521" spans="1:14" ht="16.5" customHeight="1">
      <c r="A521" s="2"/>
      <c r="N521" s="2"/>
    </row>
    <row r="522" spans="1:14" ht="16.5" customHeight="1">
      <c r="A522" s="2"/>
      <c r="N522" s="2"/>
    </row>
    <row r="523" spans="1:14" ht="16.5" customHeight="1">
      <c r="A523" s="2"/>
      <c r="N523" s="2"/>
    </row>
    <row r="524" spans="1:14" ht="16.5" customHeight="1">
      <c r="A524" s="2"/>
      <c r="N524" s="2"/>
    </row>
    <row r="525" spans="1:14" ht="16.5" customHeight="1">
      <c r="A525" s="2"/>
      <c r="N525" s="2"/>
    </row>
    <row r="526" spans="1:14" ht="16.5" customHeight="1">
      <c r="A526" s="2"/>
      <c r="N526" s="2"/>
    </row>
    <row r="527" spans="1:14" ht="16.5" customHeight="1">
      <c r="A527" s="2"/>
      <c r="N527" s="2"/>
    </row>
    <row r="528" spans="1:14" ht="16.5" customHeight="1">
      <c r="A528" s="2"/>
      <c r="N528" s="2"/>
    </row>
    <row r="529" spans="1:14" ht="16.5" customHeight="1">
      <c r="A529" s="2"/>
      <c r="N529" s="2"/>
    </row>
    <row r="530" spans="1:14" ht="16.5" customHeight="1">
      <c r="A530" s="2"/>
      <c r="N530" s="2"/>
    </row>
    <row r="531" spans="1:14" ht="16.5" customHeight="1">
      <c r="A531" s="2"/>
      <c r="N531" s="2"/>
    </row>
    <row r="532" spans="1:14" ht="16.5" customHeight="1">
      <c r="A532" s="2"/>
      <c r="N532" s="2"/>
    </row>
    <row r="533" spans="1:14" ht="16.5" customHeight="1">
      <c r="A533" s="2"/>
      <c r="N533" s="2"/>
    </row>
    <row r="534" spans="1:14" ht="16.5" customHeight="1">
      <c r="A534" s="2"/>
      <c r="N534" s="2"/>
    </row>
    <row r="535" spans="1:14" ht="16.5" customHeight="1">
      <c r="A535" s="2"/>
      <c r="N535" s="2"/>
    </row>
    <row r="536" spans="1:14" ht="16.5" customHeight="1">
      <c r="A536" s="2"/>
      <c r="N536" s="2"/>
    </row>
    <row r="537" spans="1:14" ht="16.5" customHeight="1">
      <c r="A537" s="2"/>
      <c r="N537" s="2"/>
    </row>
    <row r="538" spans="1:14" ht="16.5" customHeight="1">
      <c r="A538" s="2"/>
      <c r="N538" s="2"/>
    </row>
    <row r="539" spans="1:14" ht="16.5" customHeight="1">
      <c r="A539" s="2"/>
      <c r="N539" s="2"/>
    </row>
    <row r="540" spans="1:14" ht="16.5" customHeight="1">
      <c r="A540" s="2"/>
      <c r="N540" s="2"/>
    </row>
    <row r="541" spans="1:14" ht="16.5" customHeight="1">
      <c r="A541" s="2"/>
      <c r="N541" s="2"/>
    </row>
    <row r="542" spans="1:14" ht="16.5" customHeight="1">
      <c r="A542" s="2"/>
      <c r="N542" s="2"/>
    </row>
    <row r="543" spans="1:14" ht="16.5" customHeight="1">
      <c r="A543" s="2"/>
      <c r="N543" s="2"/>
    </row>
    <row r="544" spans="1:14" ht="16.5" customHeight="1">
      <c r="A544" s="2"/>
      <c r="N544" s="2"/>
    </row>
    <row r="545" spans="1:14" ht="16.5" customHeight="1">
      <c r="A545" s="2"/>
      <c r="N545" s="2"/>
    </row>
    <row r="546" spans="1:14" ht="16.5" customHeight="1">
      <c r="A546" s="2"/>
      <c r="N546" s="2"/>
    </row>
    <row r="547" spans="1:14" ht="16.5" customHeight="1">
      <c r="A547" s="2"/>
      <c r="N547" s="2"/>
    </row>
    <row r="548" spans="1:14" ht="16.5" customHeight="1">
      <c r="A548" s="2"/>
      <c r="N548" s="2"/>
    </row>
    <row r="549" spans="1:14" ht="16.5" customHeight="1">
      <c r="A549" s="2"/>
      <c r="N549" s="2"/>
    </row>
    <row r="550" spans="1:14" ht="16.5" customHeight="1">
      <c r="A550" s="2"/>
      <c r="N550" s="2"/>
    </row>
    <row r="551" spans="1:14" ht="16.5" customHeight="1">
      <c r="A551" s="2"/>
      <c r="N551" s="2"/>
    </row>
    <row r="552" spans="1:14" ht="16.5" customHeight="1">
      <c r="A552" s="2"/>
      <c r="N552" s="2"/>
    </row>
    <row r="553" spans="1:14" ht="16.5" customHeight="1">
      <c r="A553" s="2"/>
      <c r="N553" s="2"/>
    </row>
    <row r="554" spans="1:14" ht="16.5" customHeight="1">
      <c r="A554" s="2"/>
      <c r="N554" s="2"/>
    </row>
    <row r="555" spans="1:14" ht="16.5" customHeight="1">
      <c r="A555" s="2"/>
      <c r="N555" s="2"/>
    </row>
    <row r="556" spans="1:14" ht="16.5" customHeight="1">
      <c r="A556" s="2"/>
      <c r="N556" s="2"/>
    </row>
    <row r="557" spans="1:14" ht="16.5" customHeight="1">
      <c r="A557" s="2"/>
      <c r="N557" s="2"/>
    </row>
    <row r="558" spans="1:14" ht="16.5" customHeight="1">
      <c r="A558" s="2"/>
      <c r="N558" s="2"/>
    </row>
    <row r="559" spans="1:14" ht="16.5" customHeight="1">
      <c r="A559" s="2"/>
      <c r="N559" s="2"/>
    </row>
    <row r="560" spans="1:14" ht="16.5" customHeight="1">
      <c r="A560" s="2"/>
      <c r="N560" s="2"/>
    </row>
    <row r="561" spans="1:14" ht="16.5" customHeight="1">
      <c r="A561" s="2"/>
      <c r="N561" s="2"/>
    </row>
    <row r="562" spans="1:14" ht="16.5" customHeight="1">
      <c r="A562" s="2"/>
      <c r="N562" s="2"/>
    </row>
    <row r="563" spans="1:14" ht="16.5" customHeight="1">
      <c r="A563" s="2"/>
      <c r="N563" s="2"/>
    </row>
    <row r="564" spans="1:14" ht="16.5" customHeight="1">
      <c r="A564" s="2"/>
      <c r="N564" s="2"/>
    </row>
    <row r="565" spans="1:14" ht="16.5" customHeight="1">
      <c r="A565" s="2"/>
      <c r="N565" s="2"/>
    </row>
    <row r="566" spans="1:14" ht="16.5" customHeight="1">
      <c r="A566" s="2"/>
      <c r="N566" s="2"/>
    </row>
    <row r="567" spans="1:14" ht="16.5" customHeight="1">
      <c r="A567" s="2"/>
      <c r="N567" s="2"/>
    </row>
    <row r="568" spans="1:14" ht="16.5" customHeight="1">
      <c r="A568" s="2"/>
      <c r="N568" s="2"/>
    </row>
    <row r="569" spans="1:14" ht="16.5" customHeight="1">
      <c r="A569" s="2"/>
      <c r="N569" s="2"/>
    </row>
    <row r="570" spans="1:14" ht="16.5" customHeight="1">
      <c r="A570" s="2"/>
      <c r="N570" s="2"/>
    </row>
    <row r="571" spans="1:14" ht="16.5" customHeight="1">
      <c r="A571" s="2"/>
      <c r="N571" s="2"/>
    </row>
    <row r="572" spans="1:14" ht="16.5" customHeight="1">
      <c r="A572" s="2"/>
      <c r="N572" s="2"/>
    </row>
    <row r="573" spans="1:14" ht="16.5" customHeight="1">
      <c r="A573" s="2"/>
      <c r="N573" s="2"/>
    </row>
    <row r="574" spans="1:14" ht="16.5" customHeight="1">
      <c r="A574" s="2"/>
      <c r="N574" s="2"/>
    </row>
    <row r="575" spans="1:14" ht="16.5" customHeight="1">
      <c r="A575" s="2"/>
      <c r="N575" s="2"/>
    </row>
    <row r="576" spans="1:14" ht="16.5" customHeight="1">
      <c r="A576" s="2"/>
      <c r="N576" s="2"/>
    </row>
    <row r="577" spans="1:14" ht="16.5" customHeight="1">
      <c r="A577" s="2"/>
      <c r="N577" s="2"/>
    </row>
    <row r="578" spans="1:14" ht="16.5" customHeight="1">
      <c r="A578" s="2"/>
      <c r="N578" s="2"/>
    </row>
    <row r="579" spans="1:14" ht="16.5" customHeight="1">
      <c r="A579" s="2"/>
      <c r="N579" s="2"/>
    </row>
    <row r="580" spans="1:14" ht="16.5" customHeight="1">
      <c r="A580" s="2"/>
      <c r="N580" s="2"/>
    </row>
    <row r="581" spans="1:14" ht="16.5" customHeight="1">
      <c r="A581" s="2"/>
      <c r="N581" s="2"/>
    </row>
    <row r="582" spans="1:14" ht="16.5" customHeight="1">
      <c r="A582" s="2"/>
      <c r="N582" s="2"/>
    </row>
    <row r="583" spans="1:14" ht="16.5" customHeight="1">
      <c r="A583" s="2"/>
      <c r="N583" s="2"/>
    </row>
    <row r="584" spans="1:14" ht="16.5" customHeight="1">
      <c r="A584" s="2"/>
      <c r="N584" s="2"/>
    </row>
    <row r="585" spans="1:14" ht="16.5" customHeight="1">
      <c r="A585" s="2"/>
      <c r="N585" s="2"/>
    </row>
    <row r="586" spans="1:14" ht="16.5" customHeight="1">
      <c r="A586" s="2"/>
      <c r="N586" s="2"/>
    </row>
    <row r="587" spans="1:14" ht="16.5" customHeight="1">
      <c r="A587" s="2"/>
      <c r="N587" s="2"/>
    </row>
    <row r="588" spans="1:14" ht="16.5" customHeight="1">
      <c r="A588" s="2"/>
      <c r="N588" s="2"/>
    </row>
    <row r="589" spans="1:14" ht="16.5" customHeight="1">
      <c r="A589" s="2"/>
      <c r="N589" s="2"/>
    </row>
    <row r="590" spans="1:14" ht="16.5" customHeight="1">
      <c r="A590" s="2"/>
      <c r="N590" s="2"/>
    </row>
    <row r="591" spans="1:14" ht="16.5" customHeight="1">
      <c r="A591" s="2"/>
      <c r="N591" s="2"/>
    </row>
    <row r="592" spans="1:14" ht="16.5" customHeight="1">
      <c r="A592" s="2"/>
      <c r="N592" s="2"/>
    </row>
    <row r="593" spans="1:14" ht="16.5" customHeight="1">
      <c r="A593" s="2"/>
      <c r="N593" s="2"/>
    </row>
    <row r="594" spans="1:14" ht="16.5" customHeight="1">
      <c r="A594" s="2"/>
      <c r="N594" s="2"/>
    </row>
    <row r="595" spans="1:14" ht="16.5" customHeight="1">
      <c r="A595" s="2"/>
      <c r="N595" s="2"/>
    </row>
    <row r="596" spans="1:14" ht="16.5" customHeight="1">
      <c r="A596" s="2"/>
      <c r="N596" s="2"/>
    </row>
    <row r="597" spans="1:14" ht="16.5" customHeight="1">
      <c r="A597" s="2"/>
      <c r="N597" s="2"/>
    </row>
    <row r="598" spans="1:14" ht="16.5" customHeight="1">
      <c r="A598" s="2"/>
      <c r="N598" s="2"/>
    </row>
    <row r="599" spans="1:14" ht="16.5" customHeight="1">
      <c r="A599" s="2"/>
      <c r="N599" s="2"/>
    </row>
    <row r="600" spans="1:14" ht="16.5" customHeight="1">
      <c r="A600" s="2"/>
      <c r="N600" s="2"/>
    </row>
    <row r="601" spans="1:14" ht="16.5" customHeight="1">
      <c r="A601" s="2"/>
      <c r="N601" s="2"/>
    </row>
    <row r="602" spans="1:14" ht="16.5" customHeight="1">
      <c r="A602" s="2"/>
      <c r="N602" s="2"/>
    </row>
    <row r="603" spans="1:14" ht="16.5" customHeight="1">
      <c r="A603" s="2"/>
      <c r="N603" s="2"/>
    </row>
    <row r="604" spans="1:14" ht="16.5" customHeight="1">
      <c r="A604" s="2"/>
      <c r="N604" s="2"/>
    </row>
    <row r="605" spans="1:14" ht="16.5" customHeight="1">
      <c r="A605" s="2"/>
      <c r="N605" s="2"/>
    </row>
    <row r="606" spans="1:14" ht="16.5" customHeight="1">
      <c r="A606" s="2"/>
      <c r="N606" s="2"/>
    </row>
    <row r="607" spans="1:14" ht="16.5" customHeight="1">
      <c r="A607" s="2"/>
      <c r="N607" s="2"/>
    </row>
    <row r="608" spans="1:14" ht="16.5" customHeight="1">
      <c r="A608" s="2"/>
      <c r="N608" s="2"/>
    </row>
    <row r="609" spans="1:14" ht="16.5" customHeight="1">
      <c r="A609" s="2"/>
      <c r="N609" s="2"/>
    </row>
    <row r="610" spans="1:14" ht="16.5" customHeight="1">
      <c r="A610" s="2"/>
      <c r="N610" s="2"/>
    </row>
    <row r="611" spans="1:14" ht="16.5" customHeight="1">
      <c r="A611" s="2"/>
      <c r="N611" s="2"/>
    </row>
    <row r="612" spans="1:14" ht="16.5" customHeight="1">
      <c r="A612" s="2"/>
      <c r="N612" s="2"/>
    </row>
    <row r="613" spans="1:14" ht="16.5" customHeight="1">
      <c r="A613" s="2"/>
      <c r="N613" s="2"/>
    </row>
    <row r="614" spans="1:14" ht="16.5" customHeight="1">
      <c r="A614" s="2"/>
      <c r="N614" s="2"/>
    </row>
    <row r="615" spans="1:14" ht="16.5" customHeight="1">
      <c r="A615" s="2"/>
      <c r="N615" s="2"/>
    </row>
    <row r="616" spans="1:14" ht="16.5" customHeight="1">
      <c r="A616" s="2"/>
      <c r="N616" s="2"/>
    </row>
    <row r="617" spans="1:14" ht="16.5" customHeight="1">
      <c r="A617" s="2"/>
      <c r="N617" s="2"/>
    </row>
    <row r="618" spans="1:14" ht="16.5" customHeight="1">
      <c r="A618" s="2"/>
      <c r="N618" s="2"/>
    </row>
    <row r="619" spans="1:14" ht="16.5" customHeight="1">
      <c r="A619" s="2"/>
      <c r="N619" s="2"/>
    </row>
    <row r="620" spans="1:14" ht="16.5" customHeight="1">
      <c r="A620" s="2"/>
      <c r="N620" s="2"/>
    </row>
    <row r="621" spans="1:14" ht="16.5" customHeight="1">
      <c r="A621" s="2"/>
      <c r="N621" s="2"/>
    </row>
    <row r="622" spans="1:14" ht="16.5" customHeight="1">
      <c r="A622" s="2"/>
      <c r="N622" s="2"/>
    </row>
    <row r="623" spans="1:14" ht="16.5" customHeight="1">
      <c r="A623" s="2"/>
      <c r="N623" s="2"/>
    </row>
    <row r="624" spans="1:14" ht="16.5" customHeight="1">
      <c r="A624" s="2"/>
      <c r="N624" s="2"/>
    </row>
    <row r="625" spans="1:14" ht="16.5" customHeight="1">
      <c r="A625" s="2"/>
      <c r="N625" s="2"/>
    </row>
    <row r="626" spans="1:14" ht="16.5" customHeight="1">
      <c r="A626" s="2"/>
      <c r="N626" s="2"/>
    </row>
    <row r="627" spans="1:14" ht="16.5" customHeight="1">
      <c r="A627" s="2"/>
      <c r="N627" s="2"/>
    </row>
    <row r="628" spans="1:14" ht="16.5" customHeight="1">
      <c r="A628" s="2"/>
      <c r="N628" s="2"/>
    </row>
    <row r="629" spans="1:14" ht="16.5" customHeight="1">
      <c r="A629" s="2"/>
      <c r="N629" s="2"/>
    </row>
    <row r="630" spans="1:14" ht="16.5" customHeight="1">
      <c r="A630" s="2"/>
      <c r="N630" s="2"/>
    </row>
    <row r="631" spans="1:14" ht="16.5" customHeight="1">
      <c r="A631" s="2"/>
      <c r="N631" s="2"/>
    </row>
    <row r="632" spans="1:14" ht="16.5" customHeight="1">
      <c r="A632" s="2"/>
      <c r="N632" s="2"/>
    </row>
    <row r="633" spans="1:14" ht="16.5" customHeight="1">
      <c r="A633" s="2"/>
      <c r="N633" s="2"/>
    </row>
    <row r="634" spans="1:14" ht="16.5" customHeight="1">
      <c r="A634" s="2"/>
      <c r="N634" s="2"/>
    </row>
    <row r="635" spans="1:14" ht="16.5" customHeight="1">
      <c r="A635" s="2"/>
      <c r="N635" s="2"/>
    </row>
    <row r="636" spans="1:14" ht="16.5" customHeight="1">
      <c r="A636" s="2"/>
      <c r="N636" s="2"/>
    </row>
    <row r="637" spans="1:14" ht="16.5" customHeight="1">
      <c r="A637" s="2"/>
      <c r="N637" s="2"/>
    </row>
    <row r="638" spans="1:14" ht="16.5" customHeight="1">
      <c r="A638" s="2"/>
      <c r="N638" s="2"/>
    </row>
    <row r="639" spans="1:14" ht="16.5" customHeight="1">
      <c r="A639" s="2"/>
      <c r="N639" s="2"/>
    </row>
    <row r="640" spans="1:14" ht="16.5" customHeight="1">
      <c r="A640" s="2"/>
      <c r="N640" s="2"/>
    </row>
    <row r="641" spans="1:14" ht="16.5" customHeight="1">
      <c r="A641" s="2"/>
      <c r="N641" s="2"/>
    </row>
    <row r="642" spans="1:14" ht="16.5" customHeight="1">
      <c r="A642" s="2"/>
      <c r="N642" s="2"/>
    </row>
    <row r="643" spans="1:14" ht="16.5" customHeight="1">
      <c r="A643" s="2"/>
      <c r="N643" s="2"/>
    </row>
    <row r="644" spans="1:14" ht="16.5" customHeight="1">
      <c r="A644" s="2"/>
      <c r="N644" s="2"/>
    </row>
    <row r="645" spans="1:14" ht="16.5" customHeight="1">
      <c r="A645" s="2"/>
      <c r="N645" s="2"/>
    </row>
    <row r="646" spans="1:14" ht="16.5" customHeight="1">
      <c r="A646" s="2"/>
      <c r="N646" s="2"/>
    </row>
    <row r="647" spans="1:14" ht="16.5" customHeight="1">
      <c r="A647" s="2"/>
      <c r="N647" s="2"/>
    </row>
    <row r="648" spans="1:14" ht="16.5" customHeight="1">
      <c r="A648" s="2"/>
      <c r="N648" s="2"/>
    </row>
    <row r="649" spans="1:14" ht="16.5" customHeight="1">
      <c r="A649" s="2"/>
      <c r="N649" s="2"/>
    </row>
    <row r="650" spans="1:14" ht="16.5" customHeight="1">
      <c r="A650" s="2"/>
      <c r="N650" s="2"/>
    </row>
    <row r="651" spans="1:14" ht="16.5" customHeight="1">
      <c r="A651" s="2"/>
      <c r="N651" s="2"/>
    </row>
    <row r="652" spans="1:14" ht="16.5" customHeight="1">
      <c r="A652" s="2"/>
      <c r="N652" s="2"/>
    </row>
    <row r="653" spans="1:14" ht="16.5" customHeight="1">
      <c r="A653" s="2"/>
      <c r="N653" s="2"/>
    </row>
    <row r="654" spans="1:14" ht="16.5" customHeight="1">
      <c r="A654" s="2"/>
      <c r="N654" s="2"/>
    </row>
    <row r="655" spans="1:14" ht="16.5" customHeight="1">
      <c r="A655" s="2"/>
      <c r="N655" s="2"/>
    </row>
    <row r="656" spans="1:14" ht="16.5" customHeight="1">
      <c r="A656" s="2"/>
      <c r="N656" s="2"/>
    </row>
    <row r="657" spans="1:14" ht="16.5" customHeight="1">
      <c r="A657" s="2"/>
      <c r="N657" s="2"/>
    </row>
    <row r="658" spans="1:14" ht="16.5" customHeight="1">
      <c r="A658" s="2"/>
      <c r="N658" s="2"/>
    </row>
    <row r="659" spans="1:14" ht="16.5" customHeight="1">
      <c r="A659" s="2"/>
      <c r="N659" s="2"/>
    </row>
    <row r="660" spans="1:14" ht="16.5" customHeight="1">
      <c r="A660" s="2"/>
      <c r="N660" s="2"/>
    </row>
    <row r="661" spans="1:14" ht="16.5" customHeight="1">
      <c r="A661" s="2"/>
      <c r="N661" s="2"/>
    </row>
    <row r="662" spans="1:14" ht="16.5" customHeight="1">
      <c r="A662" s="2"/>
      <c r="N662" s="2"/>
    </row>
    <row r="663" spans="1:14" ht="16.5" customHeight="1">
      <c r="A663" s="2"/>
      <c r="N663" s="2"/>
    </row>
    <row r="664" spans="1:14" ht="16.5" customHeight="1">
      <c r="A664" s="2"/>
      <c r="N664" s="2"/>
    </row>
    <row r="665" spans="1:14" ht="16.5" customHeight="1">
      <c r="A665" s="2"/>
      <c r="N665" s="2"/>
    </row>
    <row r="666" spans="1:14" ht="16.5" customHeight="1">
      <c r="A666" s="2"/>
      <c r="N666" s="2"/>
    </row>
    <row r="667" spans="1:14" ht="16.5" customHeight="1">
      <c r="A667" s="2"/>
      <c r="N667" s="2"/>
    </row>
    <row r="668" spans="1:14" ht="16.5" customHeight="1">
      <c r="A668" s="2"/>
      <c r="N668" s="2"/>
    </row>
    <row r="669" spans="1:14" ht="16.5" customHeight="1">
      <c r="A669" s="2"/>
      <c r="N669" s="2"/>
    </row>
    <row r="670" spans="1:14" ht="16.5" customHeight="1">
      <c r="A670" s="2"/>
      <c r="N670" s="2"/>
    </row>
    <row r="671" spans="1:14" ht="16.5" customHeight="1">
      <c r="A671" s="2"/>
      <c r="N671" s="2"/>
    </row>
    <row r="672" spans="1:14" ht="16.5" customHeight="1">
      <c r="A672" s="2"/>
      <c r="N672" s="2"/>
    </row>
    <row r="673" spans="1:14" ht="16.5" customHeight="1">
      <c r="A673" s="2"/>
      <c r="N673" s="2"/>
    </row>
    <row r="674" spans="1:14" ht="16.5" customHeight="1">
      <c r="A674" s="2"/>
      <c r="N674" s="2"/>
    </row>
    <row r="675" spans="1:14" ht="16.5" customHeight="1">
      <c r="A675" s="2"/>
      <c r="N675" s="2"/>
    </row>
    <row r="676" spans="1:14" ht="16.5" customHeight="1">
      <c r="A676" s="2"/>
      <c r="N676" s="2"/>
    </row>
    <row r="677" spans="1:14" ht="16.5" customHeight="1">
      <c r="A677" s="2"/>
      <c r="N677" s="2"/>
    </row>
    <row r="678" spans="1:14" ht="16.5" customHeight="1">
      <c r="A678" s="2"/>
      <c r="N678" s="2"/>
    </row>
    <row r="679" spans="1:14" ht="16.5" customHeight="1">
      <c r="A679" s="2"/>
      <c r="N679" s="2"/>
    </row>
    <row r="680" spans="1:14" ht="16.5" customHeight="1">
      <c r="A680" s="2"/>
      <c r="N680" s="2"/>
    </row>
    <row r="681" spans="1:14" ht="16.5" customHeight="1">
      <c r="A681" s="2"/>
      <c r="N681" s="2"/>
    </row>
    <row r="682" spans="1:14" ht="16.5" customHeight="1">
      <c r="A682" s="2"/>
      <c r="N682" s="2"/>
    </row>
    <row r="683" spans="1:14" ht="16.5" customHeight="1">
      <c r="A683" s="2"/>
      <c r="N683" s="2"/>
    </row>
    <row r="684" spans="1:14" ht="16.5" customHeight="1">
      <c r="A684" s="2"/>
      <c r="N684" s="2"/>
    </row>
    <row r="685" spans="1:14" ht="16.5" customHeight="1">
      <c r="A685" s="2"/>
      <c r="N685" s="2"/>
    </row>
    <row r="686" spans="1:14" ht="16.5" customHeight="1">
      <c r="A686" s="2"/>
      <c r="N686" s="2"/>
    </row>
    <row r="687" spans="1:14" ht="16.5" customHeight="1">
      <c r="A687" s="2"/>
      <c r="N687" s="2"/>
    </row>
    <row r="688" spans="1:14" ht="16.5" customHeight="1">
      <c r="A688" s="2"/>
      <c r="N688" s="2"/>
    </row>
    <row r="689" spans="1:14" ht="16.5" customHeight="1">
      <c r="A689" s="2"/>
      <c r="N689" s="2"/>
    </row>
    <row r="690" spans="1:14" ht="16.5" customHeight="1">
      <c r="A690" s="2"/>
      <c r="N690" s="2"/>
    </row>
    <row r="691" spans="1:14" ht="16.5" customHeight="1">
      <c r="A691" s="2"/>
      <c r="N691" s="2"/>
    </row>
    <row r="692" spans="1:14" ht="16.5" customHeight="1">
      <c r="A692" s="2"/>
      <c r="N692" s="2"/>
    </row>
    <row r="693" spans="1:14" ht="16.5" customHeight="1">
      <c r="A693" s="2"/>
      <c r="N693" s="2"/>
    </row>
    <row r="694" spans="1:14" ht="16.5" customHeight="1">
      <c r="A694" s="2"/>
      <c r="N694" s="2"/>
    </row>
    <row r="695" spans="1:14" ht="16.5" customHeight="1">
      <c r="A695" s="2"/>
      <c r="N695" s="2"/>
    </row>
    <row r="696" spans="1:14" ht="16.5" customHeight="1">
      <c r="A696" s="2"/>
      <c r="N696" s="2"/>
    </row>
    <row r="697" spans="1:14" ht="16.5" customHeight="1">
      <c r="A697" s="2"/>
      <c r="N697" s="2"/>
    </row>
    <row r="698" spans="1:14" ht="16.5" customHeight="1">
      <c r="A698" s="2"/>
      <c r="N698" s="2"/>
    </row>
    <row r="699" spans="1:14" ht="16.5" customHeight="1">
      <c r="A699" s="2"/>
      <c r="N699" s="2"/>
    </row>
    <row r="700" spans="1:14" ht="16.5" customHeight="1">
      <c r="A700" s="2"/>
      <c r="N700" s="2"/>
    </row>
    <row r="701" spans="1:14" ht="16.5" customHeight="1">
      <c r="A701" s="2"/>
      <c r="N701" s="2"/>
    </row>
    <row r="702" spans="1:14" ht="16.5" customHeight="1">
      <c r="A702" s="2"/>
      <c r="N702" s="2"/>
    </row>
    <row r="703" spans="1:14" ht="16.5" customHeight="1">
      <c r="A703" s="2"/>
      <c r="N703" s="2"/>
    </row>
    <row r="704" spans="1:14" ht="16.5" customHeight="1">
      <c r="A704" s="2"/>
      <c r="N704" s="2"/>
    </row>
    <row r="705" spans="1:14" ht="16.5" customHeight="1">
      <c r="A705" s="2"/>
      <c r="N705" s="2"/>
    </row>
    <row r="706" spans="1:14" ht="16.5" customHeight="1">
      <c r="A706" s="2"/>
      <c r="N706" s="2"/>
    </row>
    <row r="707" spans="1:14" ht="16.5" customHeight="1">
      <c r="A707" s="2"/>
      <c r="N707" s="2"/>
    </row>
    <row r="708" spans="1:14" ht="16.5" customHeight="1">
      <c r="A708" s="2"/>
      <c r="N708" s="2"/>
    </row>
    <row r="709" spans="1:14" ht="16.5" customHeight="1">
      <c r="A709" s="2"/>
      <c r="N709" s="2"/>
    </row>
    <row r="710" spans="1:14" ht="16.5" customHeight="1">
      <c r="A710" s="2"/>
      <c r="N710" s="2"/>
    </row>
    <row r="711" spans="1:14" ht="16.5" customHeight="1">
      <c r="A711" s="2"/>
      <c r="N711" s="2"/>
    </row>
    <row r="712" spans="1:14" ht="16.5" customHeight="1">
      <c r="A712" s="2"/>
      <c r="N712" s="2"/>
    </row>
    <row r="713" spans="1:14" ht="16.5" customHeight="1">
      <c r="A713" s="2"/>
      <c r="N713" s="2"/>
    </row>
    <row r="714" spans="1:14" ht="16.5" customHeight="1">
      <c r="A714" s="2"/>
      <c r="N714" s="2"/>
    </row>
    <row r="715" spans="1:14" ht="16.5" customHeight="1">
      <c r="A715" s="2"/>
      <c r="N715" s="2"/>
    </row>
    <row r="716" spans="1:14" ht="16.5" customHeight="1">
      <c r="A716" s="2"/>
      <c r="N716" s="2"/>
    </row>
    <row r="717" spans="1:14" ht="16.5" customHeight="1">
      <c r="A717" s="2"/>
      <c r="N717" s="2"/>
    </row>
    <row r="718" spans="1:14" ht="16.5" customHeight="1">
      <c r="A718" s="2"/>
      <c r="N718" s="2"/>
    </row>
    <row r="719" spans="1:14" ht="16.5" customHeight="1">
      <c r="A719" s="2"/>
      <c r="N719" s="2"/>
    </row>
    <row r="720" spans="1:14" ht="16.5" customHeight="1">
      <c r="A720" s="2"/>
      <c r="N720" s="2"/>
    </row>
    <row r="721" spans="1:14" ht="16.5" customHeight="1">
      <c r="A721" s="2"/>
      <c r="N721" s="2"/>
    </row>
    <row r="722" spans="1:14" ht="16.5" customHeight="1">
      <c r="A722" s="2"/>
      <c r="N722" s="2"/>
    </row>
    <row r="723" spans="1:14" ht="16.5" customHeight="1">
      <c r="A723" s="2"/>
      <c r="N723" s="2"/>
    </row>
    <row r="724" spans="1:14" ht="16.5" customHeight="1">
      <c r="A724" s="2"/>
      <c r="N724" s="2"/>
    </row>
    <row r="725" spans="1:14" ht="16.5" customHeight="1">
      <c r="A725" s="2"/>
      <c r="N725" s="2"/>
    </row>
    <row r="726" spans="1:14" ht="16.5" customHeight="1">
      <c r="A726" s="2"/>
      <c r="N726" s="2"/>
    </row>
    <row r="727" spans="1:14" ht="16.5" customHeight="1">
      <c r="A727" s="2"/>
      <c r="N727" s="2"/>
    </row>
    <row r="728" spans="1:14" ht="16.5" customHeight="1">
      <c r="A728" s="2"/>
      <c r="N728" s="2"/>
    </row>
    <row r="729" spans="1:14" ht="16.5" customHeight="1">
      <c r="A729" s="2"/>
      <c r="N729" s="2"/>
    </row>
    <row r="730" spans="1:14" ht="16.5" customHeight="1">
      <c r="A730" s="2"/>
      <c r="N730" s="2"/>
    </row>
    <row r="731" spans="1:14" ht="16.5" customHeight="1">
      <c r="A731" s="2"/>
      <c r="N731" s="2"/>
    </row>
    <row r="732" spans="1:14" ht="16.5" customHeight="1">
      <c r="A732" s="2"/>
      <c r="N732" s="2"/>
    </row>
    <row r="733" spans="1:14" ht="16.5" customHeight="1">
      <c r="A733" s="2"/>
      <c r="N733" s="2"/>
    </row>
    <row r="734" spans="1:14" ht="16.5" customHeight="1">
      <c r="A734" s="2"/>
      <c r="N734" s="2"/>
    </row>
    <row r="735" spans="1:14" ht="16.5" customHeight="1">
      <c r="A735" s="2"/>
      <c r="N735" s="2"/>
    </row>
    <row r="736" spans="1:14" ht="16.5" customHeight="1">
      <c r="A736" s="2"/>
      <c r="N736" s="2"/>
    </row>
    <row r="737" spans="1:14" ht="16.5" customHeight="1">
      <c r="A737" s="2"/>
      <c r="N737" s="2"/>
    </row>
    <row r="738" spans="1:14" ht="16.5" customHeight="1">
      <c r="A738" s="2"/>
      <c r="N738" s="2"/>
    </row>
    <row r="739" spans="1:14" ht="16.5" customHeight="1">
      <c r="A739" s="2"/>
      <c r="N739" s="2"/>
    </row>
    <row r="740" spans="1:14" ht="16.5" customHeight="1">
      <c r="A740" s="2"/>
      <c r="N740" s="2"/>
    </row>
    <row r="741" spans="1:14" ht="16.5" customHeight="1">
      <c r="A741" s="2"/>
      <c r="N741" s="2"/>
    </row>
    <row r="742" spans="1:14" ht="16.5" customHeight="1">
      <c r="A742" s="2"/>
      <c r="N742" s="2"/>
    </row>
    <row r="743" spans="1:14" ht="16.5" customHeight="1">
      <c r="A743" s="2"/>
      <c r="N743" s="2"/>
    </row>
    <row r="744" spans="1:14" ht="16.5" customHeight="1">
      <c r="A744" s="2"/>
      <c r="N744" s="2"/>
    </row>
    <row r="745" spans="1:14" ht="16.5" customHeight="1">
      <c r="A745" s="2"/>
      <c r="N745" s="2"/>
    </row>
    <row r="746" spans="1:14" ht="16.5" customHeight="1">
      <c r="A746" s="2"/>
      <c r="N746" s="2"/>
    </row>
    <row r="747" spans="1:14" ht="16.5" customHeight="1">
      <c r="A747" s="2"/>
      <c r="N747" s="2"/>
    </row>
    <row r="748" spans="1:14" ht="16.5" customHeight="1">
      <c r="A748" s="2"/>
      <c r="N748" s="2"/>
    </row>
    <row r="749" spans="1:14" ht="16.5" customHeight="1">
      <c r="A749" s="2"/>
      <c r="N749" s="2"/>
    </row>
    <row r="750" spans="1:14" ht="16.5" customHeight="1">
      <c r="A750" s="2"/>
      <c r="N750" s="2"/>
    </row>
    <row r="751" spans="1:14" ht="16.5" customHeight="1">
      <c r="A751" s="2"/>
      <c r="N751" s="2"/>
    </row>
    <row r="752" spans="1:14" ht="16.5" customHeight="1">
      <c r="A752" s="2"/>
      <c r="N752" s="2"/>
    </row>
    <row r="753" spans="1:14" ht="16.5" customHeight="1">
      <c r="A753" s="2"/>
      <c r="N753" s="2"/>
    </row>
    <row r="754" spans="1:14" ht="16.5" customHeight="1">
      <c r="A754" s="2"/>
      <c r="N754" s="2"/>
    </row>
    <row r="755" spans="1:14" ht="16.5" customHeight="1">
      <c r="A755" s="2"/>
      <c r="N755" s="2"/>
    </row>
    <row r="756" spans="1:14" ht="16.5" customHeight="1">
      <c r="A756" s="2"/>
      <c r="N756" s="2"/>
    </row>
    <row r="757" spans="1:14" ht="16.5" customHeight="1">
      <c r="A757" s="2"/>
      <c r="N757" s="2"/>
    </row>
    <row r="758" spans="1:14" ht="16.5" customHeight="1">
      <c r="A758" s="2"/>
      <c r="N758" s="2"/>
    </row>
    <row r="759" spans="1:14" ht="16.5" customHeight="1">
      <c r="A759" s="2"/>
      <c r="N759" s="2"/>
    </row>
    <row r="760" spans="1:14" ht="16.5" customHeight="1">
      <c r="A760" s="2"/>
      <c r="N760" s="2"/>
    </row>
    <row r="761" spans="1:14" ht="16.5" customHeight="1">
      <c r="A761" s="2"/>
      <c r="N761" s="2"/>
    </row>
    <row r="762" spans="1:14" ht="16.5" customHeight="1">
      <c r="A762" s="2"/>
      <c r="N762" s="2"/>
    </row>
    <row r="763" spans="1:14" ht="16.5" customHeight="1">
      <c r="A763" s="2"/>
      <c r="N763" s="2"/>
    </row>
    <row r="764" spans="1:14" ht="16.5" customHeight="1">
      <c r="A764" s="2"/>
      <c r="N764" s="2"/>
    </row>
    <row r="765" spans="1:14" ht="16.5" customHeight="1">
      <c r="A765" s="2"/>
      <c r="N765" s="2"/>
    </row>
    <row r="766" spans="1:14" ht="16.5" customHeight="1">
      <c r="A766" s="2"/>
      <c r="N766" s="2"/>
    </row>
    <row r="767" spans="1:14" ht="16.5" customHeight="1">
      <c r="A767" s="2"/>
      <c r="N767" s="2"/>
    </row>
    <row r="768" spans="1:14" ht="16.5" customHeight="1">
      <c r="A768" s="2"/>
      <c r="N768" s="2"/>
    </row>
    <row r="769" spans="1:14" ht="16.5" customHeight="1">
      <c r="A769" s="2"/>
      <c r="N769" s="2"/>
    </row>
    <row r="770" spans="1:14" ht="16.5" customHeight="1">
      <c r="A770" s="2"/>
      <c r="N770" s="2"/>
    </row>
    <row r="771" spans="1:14" ht="16.5" customHeight="1">
      <c r="A771" s="2"/>
      <c r="N771" s="2"/>
    </row>
    <row r="772" spans="1:14" ht="16.5" customHeight="1">
      <c r="A772" s="2"/>
      <c r="N772" s="2"/>
    </row>
    <row r="773" spans="1:14" ht="16.5" customHeight="1">
      <c r="A773" s="2"/>
      <c r="N773" s="2"/>
    </row>
    <row r="774" spans="1:14" ht="16.5" customHeight="1">
      <c r="A774" s="2"/>
      <c r="N774" s="2"/>
    </row>
    <row r="775" spans="1:14" ht="16.5" customHeight="1">
      <c r="A775" s="2"/>
      <c r="N775" s="2"/>
    </row>
    <row r="776" spans="1:14" ht="16.5" customHeight="1">
      <c r="A776" s="2"/>
      <c r="N776" s="2"/>
    </row>
    <row r="777" spans="1:14" ht="16.5" customHeight="1">
      <c r="A777" s="2"/>
      <c r="N777" s="2"/>
    </row>
    <row r="778" spans="1:14" ht="16.5" customHeight="1">
      <c r="A778" s="2"/>
      <c r="N778" s="2"/>
    </row>
    <row r="779" spans="1:14" ht="16.5" customHeight="1">
      <c r="A779" s="2"/>
      <c r="N779" s="2"/>
    </row>
    <row r="780" spans="1:14" ht="16.5" customHeight="1">
      <c r="A780" s="2"/>
      <c r="N780" s="2"/>
    </row>
    <row r="781" spans="1:14" ht="16.5" customHeight="1">
      <c r="A781" s="2"/>
      <c r="N781" s="2"/>
    </row>
    <row r="782" spans="1:14" ht="16.5" customHeight="1">
      <c r="A782" s="2"/>
      <c r="N782" s="2"/>
    </row>
    <row r="783" spans="1:14" ht="16.5" customHeight="1">
      <c r="A783" s="2"/>
      <c r="N783" s="2"/>
    </row>
    <row r="784" spans="1:14" ht="16.5" customHeight="1">
      <c r="A784" s="2"/>
      <c r="N784" s="2"/>
    </row>
    <row r="785" spans="1:14" ht="16.5" customHeight="1">
      <c r="A785" s="2"/>
      <c r="N785" s="2"/>
    </row>
    <row r="786" spans="1:14" ht="16.5" customHeight="1">
      <c r="A786" s="2"/>
      <c r="N786" s="2"/>
    </row>
    <row r="787" spans="1:14" ht="16.5" customHeight="1">
      <c r="A787" s="2"/>
      <c r="N787" s="2"/>
    </row>
    <row r="788" spans="1:14" ht="16.5" customHeight="1">
      <c r="A788" s="2"/>
      <c r="N788" s="2"/>
    </row>
    <row r="789" spans="1:14" ht="16.5" customHeight="1">
      <c r="A789" s="2"/>
      <c r="N789" s="2"/>
    </row>
    <row r="790" spans="1:14" ht="16.5" customHeight="1">
      <c r="A790" s="2"/>
      <c r="N790" s="2"/>
    </row>
    <row r="791" spans="1:14" ht="16.5" customHeight="1">
      <c r="A791" s="2"/>
      <c r="N791" s="2"/>
    </row>
    <row r="792" spans="1:14" ht="16.5" customHeight="1">
      <c r="A792" s="2"/>
      <c r="N792" s="2"/>
    </row>
    <row r="793" spans="1:14" ht="16.5" customHeight="1">
      <c r="A793" s="2"/>
      <c r="N793" s="2"/>
    </row>
    <row r="794" spans="1:14" ht="16.5" customHeight="1">
      <c r="A794" s="2"/>
      <c r="N794" s="2"/>
    </row>
    <row r="795" spans="1:14" ht="16.5" customHeight="1">
      <c r="A795" s="2"/>
      <c r="N795" s="2"/>
    </row>
    <row r="796" spans="1:14" ht="16.5" customHeight="1">
      <c r="A796" s="2"/>
      <c r="N796" s="2"/>
    </row>
    <row r="797" spans="1:14" ht="16.5" customHeight="1">
      <c r="A797" s="2"/>
      <c r="N797" s="2"/>
    </row>
    <row r="798" spans="1:14" ht="16.5" customHeight="1">
      <c r="A798" s="2"/>
      <c r="N798" s="2"/>
    </row>
    <row r="799" spans="1:14" ht="16.5" customHeight="1">
      <c r="A799" s="2"/>
      <c r="N799" s="2"/>
    </row>
    <row r="800" spans="1:14" ht="16.5" customHeight="1">
      <c r="A800" s="2"/>
      <c r="N800" s="2"/>
    </row>
    <row r="801" spans="1:14" ht="16.5" customHeight="1">
      <c r="A801" s="2"/>
      <c r="N801" s="2"/>
    </row>
    <row r="802" spans="1:14" ht="16.5" customHeight="1">
      <c r="A802" s="2"/>
      <c r="N802" s="2"/>
    </row>
    <row r="803" spans="1:14" ht="16.5" customHeight="1">
      <c r="A803" s="2"/>
      <c r="N803" s="2"/>
    </row>
    <row r="804" spans="1:14" ht="16.5" customHeight="1">
      <c r="A804" s="2"/>
      <c r="N804" s="2"/>
    </row>
    <row r="805" spans="1:14" ht="16.5" customHeight="1">
      <c r="A805" s="2"/>
      <c r="N805" s="2"/>
    </row>
    <row r="806" spans="1:14" ht="16.5" customHeight="1">
      <c r="A806" s="2"/>
      <c r="N806" s="2"/>
    </row>
    <row r="807" spans="1:14" ht="16.5" customHeight="1">
      <c r="A807" s="2"/>
      <c r="N807" s="2"/>
    </row>
    <row r="808" spans="1:14" ht="16.5" customHeight="1">
      <c r="A808" s="2"/>
      <c r="N808" s="2"/>
    </row>
    <row r="809" spans="1:14" ht="16.5" customHeight="1">
      <c r="A809" s="2"/>
      <c r="N809" s="2"/>
    </row>
    <row r="810" spans="1:14" ht="16.5" customHeight="1">
      <c r="A810" s="2"/>
      <c r="N810" s="2"/>
    </row>
    <row r="811" spans="1:14" ht="16.5" customHeight="1">
      <c r="A811" s="2"/>
      <c r="N811" s="2"/>
    </row>
    <row r="812" spans="1:14" ht="16.5" customHeight="1">
      <c r="A812" s="2"/>
      <c r="N812" s="2"/>
    </row>
    <row r="813" spans="1:14" ht="16.5" customHeight="1">
      <c r="A813" s="2"/>
      <c r="N813" s="2"/>
    </row>
    <row r="814" spans="1:14" ht="16.5" customHeight="1">
      <c r="A814" s="2"/>
      <c r="N814" s="2"/>
    </row>
    <row r="815" spans="1:14" ht="16.5" customHeight="1">
      <c r="A815" s="2"/>
      <c r="N815" s="2"/>
    </row>
    <row r="816" spans="1:14" ht="16.5" customHeight="1">
      <c r="A816" s="2"/>
      <c r="N816" s="2"/>
    </row>
    <row r="817" spans="1:14" ht="16.5" customHeight="1">
      <c r="A817" s="2"/>
      <c r="N817" s="2"/>
    </row>
    <row r="818" spans="1:14" ht="16.5" customHeight="1">
      <c r="A818" s="2"/>
      <c r="N818" s="2"/>
    </row>
    <row r="819" spans="1:14" ht="16.5" customHeight="1">
      <c r="A819" s="2"/>
      <c r="N819" s="2"/>
    </row>
    <row r="820" spans="1:14" ht="16.5" customHeight="1">
      <c r="A820" s="2"/>
      <c r="N820" s="2"/>
    </row>
    <row r="821" spans="1:14" ht="16.5" customHeight="1">
      <c r="A821" s="2"/>
      <c r="N821" s="2"/>
    </row>
    <row r="822" spans="1:14" ht="16.5" customHeight="1">
      <c r="A822" s="2"/>
      <c r="N822" s="2"/>
    </row>
    <row r="823" spans="1:14" ht="16.5" customHeight="1">
      <c r="A823" s="2"/>
      <c r="N823" s="2"/>
    </row>
    <row r="824" spans="1:14" ht="16.5" customHeight="1">
      <c r="A824" s="2"/>
      <c r="N824" s="2"/>
    </row>
    <row r="825" spans="1:14" ht="16.5" customHeight="1">
      <c r="A825" s="2"/>
      <c r="N825" s="2"/>
    </row>
    <row r="826" spans="1:14" ht="16.5" customHeight="1">
      <c r="A826" s="2"/>
      <c r="N826" s="2"/>
    </row>
    <row r="827" spans="1:14" ht="16.5" customHeight="1">
      <c r="A827" s="2"/>
      <c r="N827" s="2"/>
    </row>
    <row r="828" spans="1:14" ht="16.5" customHeight="1">
      <c r="A828" s="2"/>
      <c r="N828" s="2"/>
    </row>
    <row r="829" spans="1:14" ht="16.5" customHeight="1">
      <c r="A829" s="2"/>
      <c r="N829" s="2"/>
    </row>
    <row r="830" spans="1:14" ht="16.5" customHeight="1">
      <c r="A830" s="2"/>
      <c r="N830" s="2"/>
    </row>
    <row r="831" spans="1:14" ht="16.5" customHeight="1">
      <c r="A831" s="2"/>
      <c r="N831" s="2"/>
    </row>
    <row r="832" spans="1:14" ht="16.5" customHeight="1">
      <c r="A832" s="2"/>
      <c r="N832" s="2"/>
    </row>
    <row r="833" spans="1:14" ht="16.5" customHeight="1">
      <c r="A833" s="2"/>
      <c r="N833" s="2"/>
    </row>
    <row r="834" spans="1:14" ht="16.5" customHeight="1">
      <c r="A834" s="2"/>
      <c r="N834" s="2"/>
    </row>
    <row r="835" spans="1:14" ht="16.5" customHeight="1">
      <c r="A835" s="2"/>
      <c r="N835" s="2"/>
    </row>
    <row r="836" spans="1:14" ht="16.5" customHeight="1">
      <c r="A836" s="2"/>
      <c r="N836" s="2"/>
    </row>
    <row r="837" spans="1:14" ht="16.5" customHeight="1">
      <c r="A837" s="2"/>
      <c r="N837" s="2"/>
    </row>
    <row r="838" spans="1:14" ht="16.5" customHeight="1">
      <c r="A838" s="2"/>
      <c r="N838" s="2"/>
    </row>
    <row r="839" spans="1:14" ht="16.5" customHeight="1">
      <c r="A839" s="2"/>
      <c r="N839" s="2"/>
    </row>
    <row r="840" spans="1:14" ht="16.5" customHeight="1">
      <c r="A840" s="2"/>
      <c r="N840" s="2"/>
    </row>
    <row r="841" spans="1:14" ht="16.5" customHeight="1">
      <c r="A841" s="2"/>
      <c r="N841" s="2"/>
    </row>
    <row r="842" spans="1:14" ht="16.5" customHeight="1">
      <c r="A842" s="2"/>
      <c r="N842" s="2"/>
    </row>
    <row r="843" spans="1:14" ht="16.5" customHeight="1">
      <c r="A843" s="2"/>
      <c r="N843" s="2"/>
    </row>
    <row r="844" spans="1:14" ht="16.5" customHeight="1">
      <c r="A844" s="2"/>
      <c r="N844" s="2"/>
    </row>
    <row r="845" spans="1:14" ht="16.5" customHeight="1">
      <c r="A845" s="2"/>
      <c r="N845" s="2"/>
    </row>
    <row r="846" spans="1:14" ht="16.5" customHeight="1">
      <c r="A846" s="2"/>
      <c r="N846" s="2"/>
    </row>
    <row r="847" spans="1:14" ht="16.5" customHeight="1">
      <c r="A847" s="2"/>
      <c r="N847" s="2"/>
    </row>
    <row r="848" spans="1:14" ht="16.5" customHeight="1">
      <c r="A848" s="2"/>
      <c r="N848" s="2"/>
    </row>
    <row r="849" spans="1:14" ht="16.5" customHeight="1">
      <c r="A849" s="2"/>
      <c r="N849" s="2"/>
    </row>
    <row r="850" spans="1:14" ht="16.5" customHeight="1">
      <c r="A850" s="2"/>
      <c r="N850" s="2"/>
    </row>
    <row r="851" spans="1:14" ht="16.5" customHeight="1">
      <c r="A851" s="2"/>
      <c r="N851" s="2"/>
    </row>
    <row r="852" spans="1:14" ht="16.5" customHeight="1">
      <c r="A852" s="2"/>
      <c r="N852" s="2"/>
    </row>
    <row r="853" spans="1:14" ht="16.5" customHeight="1">
      <c r="A853" s="2"/>
      <c r="N853" s="2"/>
    </row>
    <row r="854" spans="1:14" ht="16.5" customHeight="1">
      <c r="A854" s="2"/>
      <c r="N854" s="2"/>
    </row>
    <row r="855" spans="1:14" ht="16.5" customHeight="1">
      <c r="A855" s="2"/>
      <c r="N855" s="2"/>
    </row>
    <row r="856" spans="1:14" ht="16.5" customHeight="1">
      <c r="A856" s="2"/>
      <c r="N856" s="2"/>
    </row>
    <row r="857" spans="1:14" ht="16.5" customHeight="1">
      <c r="A857" s="2"/>
      <c r="N857" s="2"/>
    </row>
    <row r="858" spans="1:14" ht="16.5" customHeight="1">
      <c r="A858" s="2"/>
      <c r="N858" s="2"/>
    </row>
    <row r="859" spans="1:14" ht="16.5" customHeight="1">
      <c r="A859" s="2"/>
      <c r="N859" s="2"/>
    </row>
    <row r="860" spans="1:14" ht="16.5" customHeight="1">
      <c r="A860" s="2"/>
      <c r="N860" s="2"/>
    </row>
    <row r="861" spans="1:14" ht="16.5" customHeight="1">
      <c r="A861" s="2"/>
      <c r="N861" s="2"/>
    </row>
    <row r="862" spans="1:14" ht="16.5" customHeight="1">
      <c r="A862" s="2"/>
      <c r="N862" s="2"/>
    </row>
    <row r="863" spans="1:14" ht="16.5" customHeight="1">
      <c r="A863" s="2"/>
      <c r="N863" s="2"/>
    </row>
    <row r="864" spans="1:14" ht="16.5" customHeight="1">
      <c r="A864" s="2"/>
      <c r="N864" s="2"/>
    </row>
    <row r="865" spans="1:14" ht="16.5" customHeight="1">
      <c r="A865" s="2"/>
      <c r="N865" s="2"/>
    </row>
    <row r="866" spans="1:14" ht="16.5" customHeight="1">
      <c r="A866" s="2"/>
      <c r="N866" s="2"/>
    </row>
    <row r="867" spans="1:14" ht="16.5" customHeight="1">
      <c r="A867" s="2"/>
      <c r="N867" s="2"/>
    </row>
    <row r="868" spans="1:14" ht="16.5" customHeight="1">
      <c r="A868" s="2"/>
      <c r="N868" s="2"/>
    </row>
    <row r="869" spans="1:14" ht="16.5" customHeight="1">
      <c r="A869" s="2"/>
      <c r="N869" s="2"/>
    </row>
    <row r="870" spans="1:14" ht="16.5" customHeight="1">
      <c r="A870" s="2"/>
      <c r="N870" s="2"/>
    </row>
    <row r="871" spans="1:14" ht="16.5" customHeight="1">
      <c r="A871" s="2"/>
      <c r="N871" s="2"/>
    </row>
    <row r="872" spans="1:14" ht="16.5" customHeight="1">
      <c r="A872" s="2"/>
      <c r="N872" s="2"/>
    </row>
    <row r="873" spans="1:14" ht="16.5" customHeight="1">
      <c r="A873" s="2"/>
      <c r="N873" s="2"/>
    </row>
    <row r="874" spans="1:14" ht="16.5" customHeight="1">
      <c r="A874" s="2"/>
      <c r="N874" s="2"/>
    </row>
    <row r="875" spans="1:14" ht="16.5" customHeight="1">
      <c r="A875" s="2"/>
      <c r="N875" s="2"/>
    </row>
    <row r="876" spans="1:14" ht="16.5" customHeight="1">
      <c r="A876" s="2"/>
      <c r="N876" s="2"/>
    </row>
    <row r="877" spans="1:14" ht="16.5" customHeight="1">
      <c r="A877" s="2"/>
      <c r="N877" s="2"/>
    </row>
    <row r="878" spans="1:14" ht="16.5" customHeight="1">
      <c r="A878" s="2"/>
      <c r="N878" s="2"/>
    </row>
    <row r="879" spans="1:14" ht="16.5" customHeight="1">
      <c r="A879" s="2"/>
      <c r="N879" s="2"/>
    </row>
    <row r="880" spans="1:14" ht="16.5" customHeight="1">
      <c r="A880" s="2"/>
      <c r="N880" s="2"/>
    </row>
    <row r="881" spans="1:14" ht="16.5" customHeight="1">
      <c r="A881" s="2"/>
      <c r="N881" s="2"/>
    </row>
    <row r="882" spans="1:14" ht="16.5" customHeight="1">
      <c r="A882" s="2"/>
      <c r="N882" s="2"/>
    </row>
    <row r="883" spans="1:14" ht="16.5" customHeight="1">
      <c r="A883" s="2"/>
      <c r="N883" s="2"/>
    </row>
    <row r="884" spans="1:14" ht="16.5" customHeight="1">
      <c r="A884" s="2"/>
      <c r="N884" s="2"/>
    </row>
    <row r="885" spans="1:14" ht="16.5" customHeight="1">
      <c r="A885" s="2"/>
      <c r="N885" s="2"/>
    </row>
    <row r="886" spans="1:14" ht="16.5" customHeight="1">
      <c r="A886" s="2"/>
      <c r="N886" s="2"/>
    </row>
    <row r="887" spans="1:14" ht="16.5" customHeight="1">
      <c r="A887" s="2"/>
      <c r="N887" s="2"/>
    </row>
    <row r="888" spans="1:14" ht="16.5" customHeight="1">
      <c r="A888" s="2"/>
      <c r="N888" s="2"/>
    </row>
    <row r="889" spans="1:14" ht="16.5" customHeight="1">
      <c r="A889" s="2"/>
      <c r="N889" s="2"/>
    </row>
    <row r="890" spans="1:14" ht="16.5" customHeight="1">
      <c r="A890" s="2"/>
      <c r="N890" s="2"/>
    </row>
    <row r="891" spans="1:14" ht="16.5" customHeight="1">
      <c r="A891" s="2"/>
      <c r="N891" s="2"/>
    </row>
    <row r="892" spans="1:14" ht="16.5" customHeight="1">
      <c r="A892" s="2"/>
      <c r="N892" s="2"/>
    </row>
    <row r="893" spans="1:14" ht="16.5" customHeight="1">
      <c r="A893" s="2"/>
      <c r="N893" s="2"/>
    </row>
    <row r="894" spans="1:14" ht="16.5" customHeight="1">
      <c r="A894" s="2"/>
      <c r="N894" s="2"/>
    </row>
    <row r="895" spans="1:14" ht="16.5" customHeight="1">
      <c r="A895" s="2"/>
      <c r="N895" s="2"/>
    </row>
    <row r="896" spans="1:14" ht="16.5" customHeight="1">
      <c r="A896" s="2"/>
      <c r="N896" s="2"/>
    </row>
    <row r="897" spans="1:14" ht="16.5" customHeight="1">
      <c r="A897" s="2"/>
      <c r="N897" s="2"/>
    </row>
    <row r="898" spans="1:14" ht="16.5" customHeight="1">
      <c r="A898" s="2"/>
      <c r="N898" s="2"/>
    </row>
    <row r="899" spans="1:14" ht="16.5" customHeight="1">
      <c r="A899" s="2"/>
      <c r="N899" s="2"/>
    </row>
    <row r="900" spans="1:14" ht="16.5" customHeight="1">
      <c r="A900" s="2"/>
      <c r="N900" s="2"/>
    </row>
    <row r="901" spans="1:14" ht="16.5" customHeight="1">
      <c r="A901" s="2"/>
      <c r="N901" s="2"/>
    </row>
    <row r="902" spans="1:14" ht="16.5" customHeight="1">
      <c r="A902" s="2"/>
      <c r="N902" s="2"/>
    </row>
    <row r="903" spans="1:14" ht="16.5" customHeight="1">
      <c r="A903" s="2"/>
      <c r="N903" s="2"/>
    </row>
    <row r="904" spans="1:14" ht="16.5" customHeight="1">
      <c r="A904" s="2"/>
      <c r="N904" s="2"/>
    </row>
    <row r="905" spans="1:14" ht="16.5" customHeight="1">
      <c r="A905" s="2"/>
      <c r="N905" s="2"/>
    </row>
    <row r="906" spans="1:14" ht="16.5" customHeight="1">
      <c r="A906" s="2"/>
      <c r="N906" s="2"/>
    </row>
    <row r="907" spans="1:14" ht="16.5" customHeight="1">
      <c r="A907" s="2"/>
      <c r="N907" s="2"/>
    </row>
    <row r="908" spans="1:14" ht="16.5" customHeight="1">
      <c r="A908" s="2"/>
      <c r="N908" s="2"/>
    </row>
    <row r="909" spans="1:14" ht="16.5" customHeight="1">
      <c r="A909" s="2"/>
      <c r="N909" s="2"/>
    </row>
    <row r="910" spans="1:14" ht="16.5" customHeight="1">
      <c r="A910" s="2"/>
      <c r="N910" s="2"/>
    </row>
    <row r="911" spans="1:14" ht="16.5" customHeight="1">
      <c r="A911" s="2"/>
      <c r="N911" s="2"/>
    </row>
    <row r="912" spans="1:14" ht="16.5" customHeight="1">
      <c r="A912" s="2"/>
      <c r="N912" s="2"/>
    </row>
    <row r="913" spans="1:14" ht="16.5" customHeight="1">
      <c r="A913" s="2"/>
      <c r="N913" s="2"/>
    </row>
    <row r="914" spans="1:14" ht="16.5" customHeight="1">
      <c r="A914" s="2"/>
      <c r="N914" s="2"/>
    </row>
    <row r="915" spans="1:14" ht="16.5" customHeight="1">
      <c r="A915" s="2"/>
      <c r="N915" s="2"/>
    </row>
    <row r="916" spans="1:14" ht="16.5" customHeight="1">
      <c r="A916" s="2"/>
      <c r="N916" s="2"/>
    </row>
    <row r="917" spans="1:14" ht="16.5" customHeight="1">
      <c r="A917" s="2"/>
      <c r="N917" s="2"/>
    </row>
    <row r="918" spans="1:14" ht="16.5" customHeight="1">
      <c r="A918" s="2"/>
      <c r="N918" s="2"/>
    </row>
    <row r="919" spans="1:14" ht="16.5" customHeight="1">
      <c r="A919" s="2"/>
      <c r="N919" s="2"/>
    </row>
    <row r="920" spans="1:14" ht="16.5" customHeight="1">
      <c r="A920" s="2"/>
      <c r="N920" s="2"/>
    </row>
    <row r="921" spans="1:14" ht="16.5" customHeight="1">
      <c r="A921" s="2"/>
      <c r="N921" s="2"/>
    </row>
    <row r="922" spans="1:14" ht="16.5" customHeight="1">
      <c r="A922" s="2"/>
      <c r="N922" s="2"/>
    </row>
    <row r="923" spans="1:14" ht="16.5" customHeight="1">
      <c r="A923" s="2"/>
      <c r="N923" s="2"/>
    </row>
    <row r="924" spans="1:14" ht="16.5" customHeight="1">
      <c r="A924" s="2"/>
      <c r="N924" s="2"/>
    </row>
    <row r="925" spans="1:14" ht="16.5" customHeight="1">
      <c r="A925" s="2"/>
      <c r="N925" s="2"/>
    </row>
    <row r="926" spans="1:14" ht="16.5" customHeight="1">
      <c r="A926" s="2"/>
      <c r="N926" s="2"/>
    </row>
    <row r="927" spans="1:14" ht="16.5" customHeight="1">
      <c r="A927" s="2"/>
      <c r="N927" s="2"/>
    </row>
    <row r="928" spans="1:14" ht="16.5" customHeight="1">
      <c r="A928" s="2"/>
      <c r="N928" s="2"/>
    </row>
    <row r="929" spans="1:14" ht="16.5" customHeight="1">
      <c r="A929" s="2"/>
      <c r="N929" s="2"/>
    </row>
    <row r="930" spans="1:14" ht="16.5" customHeight="1">
      <c r="A930" s="2"/>
      <c r="N930" s="2"/>
    </row>
    <row r="931" spans="1:14" ht="16.5" customHeight="1">
      <c r="A931" s="2"/>
      <c r="N931" s="2"/>
    </row>
    <row r="932" spans="1:14" ht="16.5" customHeight="1">
      <c r="A932" s="2"/>
      <c r="N932" s="2"/>
    </row>
    <row r="933" spans="1:14" ht="16.5" customHeight="1">
      <c r="A933" s="2"/>
      <c r="N933" s="2"/>
    </row>
    <row r="934" spans="1:14" ht="16.5" customHeight="1">
      <c r="A934" s="2"/>
      <c r="N934" s="2"/>
    </row>
    <row r="935" spans="1:14" ht="16.5" customHeight="1">
      <c r="A935" s="2"/>
      <c r="N935" s="2"/>
    </row>
    <row r="936" spans="1:14" ht="16.5" customHeight="1">
      <c r="A936" s="2"/>
      <c r="N936" s="2"/>
    </row>
    <row r="937" spans="1:14" ht="16.5" customHeight="1">
      <c r="A937" s="2"/>
      <c r="N937" s="2"/>
    </row>
    <row r="938" spans="1:14" ht="16.5" customHeight="1">
      <c r="A938" s="2"/>
      <c r="N938" s="2"/>
    </row>
    <row r="939" spans="1:14" ht="16.5" customHeight="1">
      <c r="A939" s="2"/>
      <c r="N939" s="2"/>
    </row>
    <row r="940" spans="1:14" ht="16.5" customHeight="1">
      <c r="A940" s="2"/>
      <c r="N940" s="2"/>
    </row>
    <row r="941" spans="1:14" ht="16.5" customHeight="1">
      <c r="A941" s="2"/>
      <c r="N941" s="2"/>
    </row>
    <row r="942" spans="1:14" ht="16.5" customHeight="1">
      <c r="A942" s="2"/>
      <c r="N942" s="2"/>
    </row>
    <row r="943" spans="1:14" ht="16.5" customHeight="1">
      <c r="A943" s="2"/>
      <c r="N943" s="2"/>
    </row>
    <row r="944" spans="1:14" ht="16.5" customHeight="1">
      <c r="A944" s="2"/>
      <c r="N944" s="2"/>
    </row>
    <row r="945" spans="1:14" ht="16.5" customHeight="1">
      <c r="A945" s="2"/>
      <c r="N945" s="2"/>
    </row>
    <row r="946" spans="1:14" ht="16.5" customHeight="1">
      <c r="A946" s="2"/>
      <c r="N946" s="2"/>
    </row>
    <row r="947" spans="1:14" ht="16.5" customHeight="1">
      <c r="A947" s="2"/>
      <c r="N947" s="2"/>
    </row>
    <row r="948" spans="1:14" ht="16.5" customHeight="1">
      <c r="A948" s="2"/>
      <c r="N948" s="2"/>
    </row>
    <row r="949" spans="1:14" ht="16.5" customHeight="1">
      <c r="A949" s="2"/>
      <c r="N949" s="2"/>
    </row>
    <row r="950" spans="1:14" ht="16.5" customHeight="1">
      <c r="A950" s="2"/>
      <c r="N950" s="2"/>
    </row>
    <row r="951" spans="1:14" ht="16.5" customHeight="1">
      <c r="A951" s="2"/>
      <c r="N951" s="2"/>
    </row>
    <row r="952" spans="1:14" ht="16.5" customHeight="1">
      <c r="A952" s="2"/>
      <c r="N952" s="2"/>
    </row>
    <row r="953" spans="1:14" ht="16.5" customHeight="1">
      <c r="A953" s="2"/>
      <c r="N953" s="2"/>
    </row>
    <row r="954" spans="1:14" ht="16.5" customHeight="1">
      <c r="A954" s="2"/>
      <c r="N954" s="2"/>
    </row>
    <row r="955" spans="1:14" ht="16.5" customHeight="1">
      <c r="A955" s="2"/>
      <c r="N955" s="2"/>
    </row>
    <row r="956" spans="1:14" ht="16.5" customHeight="1">
      <c r="A956" s="2"/>
      <c r="N956" s="2"/>
    </row>
    <row r="957" spans="1:14" ht="16.5" customHeight="1">
      <c r="A957" s="2"/>
      <c r="N957" s="2"/>
    </row>
    <row r="958" spans="1:14" ht="16.5" customHeight="1">
      <c r="A958" s="2"/>
      <c r="N958" s="2"/>
    </row>
    <row r="959" spans="1:14" ht="16.5" customHeight="1">
      <c r="A959" s="2"/>
      <c r="N959" s="2"/>
    </row>
    <row r="960" spans="1:14" ht="16.5" customHeight="1">
      <c r="A960" s="2"/>
      <c r="N960" s="2"/>
    </row>
    <row r="961" spans="1:14" ht="16.5" customHeight="1">
      <c r="A961" s="2"/>
      <c r="N961" s="2"/>
    </row>
    <row r="962" spans="1:14" ht="16.5" customHeight="1">
      <c r="A962" s="2"/>
      <c r="N962" s="2"/>
    </row>
    <row r="963" spans="1:14" ht="16.5" customHeight="1">
      <c r="A963" s="2"/>
      <c r="N963" s="2"/>
    </row>
    <row r="964" spans="1:14" ht="16.5" customHeight="1">
      <c r="A964" s="2"/>
      <c r="N964" s="2"/>
    </row>
    <row r="965" spans="1:14" ht="16.5" customHeight="1">
      <c r="A965" s="2"/>
      <c r="N965" s="2"/>
    </row>
    <row r="966" spans="1:14" ht="16.5" customHeight="1">
      <c r="A966" s="2"/>
      <c r="N966" s="2"/>
    </row>
    <row r="967" spans="1:14" ht="16.5" customHeight="1">
      <c r="A967" s="2"/>
      <c r="N967" s="2"/>
    </row>
    <row r="968" spans="1:14" ht="16.5" customHeight="1">
      <c r="A968" s="2"/>
      <c r="N968" s="2"/>
    </row>
    <row r="969" spans="1:14" ht="16.5" customHeight="1">
      <c r="A969" s="2"/>
      <c r="N969" s="2"/>
    </row>
    <row r="970" spans="1:14" ht="16.5" customHeight="1">
      <c r="A970" s="2"/>
      <c r="N970" s="2"/>
    </row>
    <row r="971" spans="1:14" ht="16.5" customHeight="1">
      <c r="A971" s="2"/>
      <c r="N971" s="2"/>
    </row>
    <row r="972" spans="1:14" ht="16.5" customHeight="1">
      <c r="A972" s="2"/>
      <c r="N972" s="2"/>
    </row>
    <row r="973" spans="1:14" ht="16.5" customHeight="1">
      <c r="A973" s="2"/>
      <c r="N973" s="2"/>
    </row>
    <row r="974" spans="1:14" ht="16.5" customHeight="1">
      <c r="A974" s="2"/>
      <c r="N974" s="2"/>
    </row>
    <row r="975" spans="1:14" ht="16.5" customHeight="1">
      <c r="A975" s="2"/>
      <c r="N975" s="2"/>
    </row>
    <row r="976" spans="1:14" ht="16.5" customHeight="1">
      <c r="A976" s="2"/>
      <c r="N976" s="2"/>
    </row>
    <row r="977" spans="1:14" ht="16.5" customHeight="1">
      <c r="A977" s="2"/>
      <c r="N977" s="2"/>
    </row>
    <row r="978" spans="1:14" ht="16.5" customHeight="1">
      <c r="A978" s="2"/>
      <c r="N978" s="2"/>
    </row>
    <row r="979" spans="1:14" ht="16.5" customHeight="1">
      <c r="A979" s="2"/>
      <c r="N979" s="2"/>
    </row>
    <row r="980" spans="1:14" ht="16.5" customHeight="1">
      <c r="A980" s="2"/>
      <c r="N980" s="2"/>
    </row>
    <row r="981" spans="1:14" ht="16.5" customHeight="1">
      <c r="A981" s="2"/>
      <c r="N981" s="2"/>
    </row>
    <row r="982" spans="1:14" ht="16.5" customHeight="1">
      <c r="A982" s="2"/>
      <c r="N982" s="2"/>
    </row>
    <row r="983" spans="1:14" ht="16.5" customHeight="1">
      <c r="A983" s="2"/>
      <c r="N983" s="2"/>
    </row>
    <row r="984" spans="1:14" ht="16.5" customHeight="1">
      <c r="A984" s="2"/>
      <c r="N984" s="2"/>
    </row>
    <row r="985" spans="1:14" ht="16.5" customHeight="1">
      <c r="A985" s="2"/>
      <c r="N985" s="2"/>
    </row>
    <row r="986" spans="1:14" ht="16.5" customHeight="1">
      <c r="A986" s="2"/>
      <c r="N986" s="2"/>
    </row>
    <row r="987" spans="1:14" ht="16.5" customHeight="1">
      <c r="A987" s="2"/>
      <c r="N987" s="2"/>
    </row>
    <row r="988" spans="1:14" ht="16.5" customHeight="1">
      <c r="A988" s="2"/>
      <c r="N988" s="2"/>
    </row>
    <row r="989" spans="1:14" ht="16.5" customHeight="1">
      <c r="A989" s="2"/>
      <c r="N989" s="2"/>
    </row>
    <row r="990" spans="1:14" ht="16.5" customHeight="1">
      <c r="A990" s="2"/>
      <c r="N990" s="2"/>
    </row>
    <row r="991" spans="1:14" ht="16.5" customHeight="1">
      <c r="A991" s="2"/>
      <c r="N991" s="2"/>
    </row>
    <row r="992" spans="1:14" ht="16.5" customHeight="1">
      <c r="A992" s="2"/>
      <c r="N992" s="2"/>
    </row>
    <row r="993" spans="1:14" ht="16.5" customHeight="1">
      <c r="A993" s="2"/>
      <c r="N993" s="2"/>
    </row>
    <row r="994" spans="1:14" ht="16.5" customHeight="1">
      <c r="A994" s="2"/>
      <c r="N994" s="2"/>
    </row>
    <row r="995" spans="1:14" ht="16.5" customHeight="1">
      <c r="A995" s="2"/>
      <c r="N995" s="2"/>
    </row>
    <row r="996" spans="1:14" ht="16.5" customHeight="1">
      <c r="A996" s="2"/>
      <c r="N996" s="2"/>
    </row>
    <row r="997" spans="1:14" ht="16.5" customHeight="1">
      <c r="A997" s="2"/>
      <c r="N997" s="2"/>
    </row>
    <row r="998" spans="1:14" ht="16.5" customHeight="1">
      <c r="A998" s="2"/>
      <c r="N998" s="2"/>
    </row>
    <row r="999" spans="1:14" ht="16.5" customHeight="1">
      <c r="A999" s="2"/>
      <c r="N999" s="2"/>
    </row>
    <row r="1000" spans="1:14" ht="16.5" customHeight="1">
      <c r="A1000" s="2"/>
      <c r="N1000" s="2"/>
    </row>
    <row r="1001" spans="1:14" ht="16.5" customHeight="1">
      <c r="A1001" s="2"/>
      <c r="N1001" s="2"/>
    </row>
    <row r="1002" spans="1:14" ht="16.5" customHeight="1">
      <c r="A1002" s="2"/>
      <c r="N1002" s="2"/>
    </row>
    <row r="1003" spans="1:14" ht="16.5" customHeight="1">
      <c r="A1003" s="2"/>
      <c r="N1003" s="2"/>
    </row>
    <row r="1004" spans="1:14" ht="16.5" customHeight="1">
      <c r="A1004" s="2"/>
      <c r="N1004" s="2"/>
    </row>
    <row r="1005" spans="1:14" ht="16.5" customHeight="1">
      <c r="A1005" s="2"/>
      <c r="N1005" s="2"/>
    </row>
    <row r="1006" spans="1:14" ht="16.5" customHeight="1">
      <c r="A1006" s="2"/>
      <c r="N1006" s="2"/>
    </row>
    <row r="1007" spans="1:14" ht="16.5" customHeight="1">
      <c r="A1007" s="2"/>
      <c r="N1007" s="2"/>
    </row>
  </sheetData>
  <mergeCells count="76">
    <mergeCell ref="A1:O1"/>
    <mergeCell ref="A2:O2"/>
    <mergeCell ref="A3:A4"/>
    <mergeCell ref="B3:B4"/>
    <mergeCell ref="C3:C4"/>
    <mergeCell ref="D3:D4"/>
    <mergeCell ref="E3:E4"/>
    <mergeCell ref="F3:F4"/>
    <mergeCell ref="G3:H3"/>
    <mergeCell ref="I3:J3"/>
    <mergeCell ref="K3:L3"/>
    <mergeCell ref="M3:N3"/>
    <mergeCell ref="O3:O4"/>
    <mergeCell ref="A5:A42"/>
    <mergeCell ref="B5:B10"/>
    <mergeCell ref="M5:M10"/>
    <mergeCell ref="N5:N22"/>
    <mergeCell ref="B11:B16"/>
    <mergeCell ref="M11:M16"/>
    <mergeCell ref="B17:B22"/>
    <mergeCell ref="M17:M22"/>
    <mergeCell ref="B23:B26"/>
    <mergeCell ref="M23:N24"/>
    <mergeCell ref="M25:N26"/>
    <mergeCell ref="B27:B30"/>
    <mergeCell ref="M27:N30"/>
    <mergeCell ref="B31:B36"/>
    <mergeCell ref="M31:N36"/>
    <mergeCell ref="B37:B40"/>
    <mergeCell ref="D37:D38"/>
    <mergeCell ref="M37:N40"/>
    <mergeCell ref="D39:D40"/>
    <mergeCell ref="B41:B42"/>
    <mergeCell ref="M41:N42"/>
    <mergeCell ref="G37:G38"/>
    <mergeCell ref="H37:H38"/>
    <mergeCell ref="K39:K40"/>
    <mergeCell ref="L39:L40"/>
    <mergeCell ref="A43:D43"/>
    <mergeCell ref="A44:A52"/>
    <mergeCell ref="B44:B48"/>
    <mergeCell ref="M44:N52"/>
    <mergeCell ref="B49:B52"/>
    <mergeCell ref="M43:N43"/>
    <mergeCell ref="A53:A62"/>
    <mergeCell ref="M53:N62"/>
    <mergeCell ref="B54:B57"/>
    <mergeCell ref="B58:B62"/>
    <mergeCell ref="A63:A64"/>
    <mergeCell ref="B63:B64"/>
    <mergeCell ref="M63:N64"/>
    <mergeCell ref="A65:A66"/>
    <mergeCell ref="B65:B66"/>
    <mergeCell ref="M65:N66"/>
    <mergeCell ref="A67:A83"/>
    <mergeCell ref="M67:N83"/>
    <mergeCell ref="B68:B69"/>
    <mergeCell ref="B71:B75"/>
    <mergeCell ref="B76:B81"/>
    <mergeCell ref="B82:B83"/>
    <mergeCell ref="B98:B99"/>
    <mergeCell ref="M104:N104"/>
    <mergeCell ref="M105:N105"/>
    <mergeCell ref="M106:N106"/>
    <mergeCell ref="M107:N107"/>
    <mergeCell ref="A104:D104"/>
    <mergeCell ref="A105:D105"/>
    <mergeCell ref="A106:D106"/>
    <mergeCell ref="A107:D107"/>
    <mergeCell ref="A100:A103"/>
    <mergeCell ref="B100:B103"/>
    <mergeCell ref="M100:N103"/>
    <mergeCell ref="A84:A99"/>
    <mergeCell ref="M84:N99"/>
    <mergeCell ref="B87:B91"/>
    <mergeCell ref="B92:B97"/>
  </mergeCells>
  <phoneticPr fontId="15" type="noConversion"/>
  <conditionalFormatting sqref="C2">
    <cfRule type="containsText" dxfId="2" priority="2" operator="containsText" text="입력오류">
      <formula>NOT(ISERROR(SEARCH("입력오류",C2)))</formula>
    </cfRule>
  </conditionalFormatting>
  <conditionalFormatting sqref="C5:C36">
    <cfRule type="containsText" dxfId="1" priority="3" operator="containsText" text="입력오류">
      <formula>NOT(ISERROR(SEARCH("입력오류",C5)))</formula>
    </cfRule>
  </conditionalFormatting>
  <conditionalFormatting sqref="C38:C101">
    <cfRule type="containsText" dxfId="0" priority="1" operator="containsText" text="입력오류">
      <formula>NOT(ISERROR(SEARCH("입력오류",C38)))</formula>
    </cfRule>
  </conditionalFormatting>
  <dataValidations count="3">
    <dataValidation type="list" allowBlank="1" showErrorMessage="1" sqref="C5:C42 C44:C103" xr:uid="{A29A371C-623C-4347-864E-AB1B8F5167C1}">
      <formula1>"공통,일반,진로,융합,진로(전공),융합(전공)"</formula1>
    </dataValidation>
    <dataValidation type="list" allowBlank="1" showErrorMessage="1" sqref="B11 B17 B23 B27 B37 B41 B5 B44 B65 B76 B53 B85 B63 B68 B70:B71" xr:uid="{1B2064FE-F22A-4DAE-8458-2CCC67CBCB63}">
      <formula1>"국어,수학,영어,사회,과학,체육,예술,기술·가정,정보,제2외국어,한문,교양"</formula1>
    </dataValidation>
    <dataValidation type="list" allowBlank="1" showErrorMessage="1" sqref="O44:O103 O5:O42" xr:uid="{7ACE23B8-CED0-4C14-AEF4-7EDDF70AA32E}">
      <formula1>"성취도 5단계+석차등급O,성취도 5단계+석차등급X,성취도 3단계,이수/미이수"</formula1>
    </dataValidation>
  </dataValidations>
  <pageMargins left="0.7" right="0.7" top="0.75" bottom="0.75" header="0.3" footer="0.3"/>
  <pageSetup paperSize="12" scale="53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B1:L295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J7" sqref="J7"/>
    </sheetView>
  </sheetViews>
  <sheetFormatPr defaultColWidth="10.28515625" defaultRowHeight="12.75"/>
  <cols>
    <col min="1" max="1" width="0.85546875" style="4" customWidth="1"/>
    <col min="2" max="2" width="7.28515625" style="4" customWidth="1"/>
    <col min="3" max="3" width="10.85546875" style="4" customWidth="1"/>
    <col min="4" max="4" width="20" style="4" bestFit="1" customWidth="1"/>
    <col min="5" max="5" width="16.42578125" style="4" customWidth="1"/>
    <col min="6" max="6" width="26.85546875" style="6" bestFit="1" customWidth="1"/>
    <col min="7" max="7" width="11.42578125" style="6" customWidth="1"/>
    <col min="8" max="8" width="11.42578125" style="4" customWidth="1"/>
    <col min="9" max="9" width="28.42578125" style="4" customWidth="1"/>
    <col min="10" max="10" width="28.28515625" style="4" bestFit="1" customWidth="1"/>
    <col min="11" max="11" width="54.85546875" style="7" customWidth="1"/>
    <col min="12" max="12" width="1.7109375" style="4" customWidth="1"/>
    <col min="13" max="16384" width="10.28515625" style="4"/>
  </cols>
  <sheetData>
    <row r="1" spans="2:12" ht="48" customHeight="1">
      <c r="B1" s="208" t="s">
        <v>398</v>
      </c>
      <c r="C1" s="208"/>
      <c r="D1" s="208"/>
      <c r="E1" s="208"/>
      <c r="F1" s="208"/>
      <c r="G1" s="208"/>
      <c r="H1" s="208"/>
      <c r="I1" s="208"/>
      <c r="J1" s="208"/>
      <c r="K1" s="208"/>
      <c r="L1" s="3"/>
    </row>
    <row r="2" spans="2:12" ht="39.75" customHeight="1">
      <c r="B2" s="209"/>
      <c r="C2" s="210"/>
      <c r="D2" s="210"/>
      <c r="E2" s="210"/>
      <c r="F2" s="210"/>
      <c r="G2" s="210"/>
      <c r="H2" s="210"/>
      <c r="I2" s="210"/>
      <c r="J2" s="210"/>
      <c r="K2" s="210"/>
      <c r="L2" s="3"/>
    </row>
    <row r="3" spans="2:12" ht="20.25" customHeight="1">
      <c r="F3" s="5">
        <f>SUBTOTAL(3,F5:F298)</f>
        <v>290</v>
      </c>
    </row>
    <row r="4" spans="2:12" ht="13.5" customHeight="1">
      <c r="B4" s="8" t="s">
        <v>50</v>
      </c>
      <c r="C4" s="8" t="s">
        <v>51</v>
      </c>
      <c r="D4" s="8" t="s">
        <v>52</v>
      </c>
      <c r="E4" s="8" t="s">
        <v>53</v>
      </c>
      <c r="F4" s="8" t="s">
        <v>54</v>
      </c>
      <c r="G4" s="8" t="s">
        <v>55</v>
      </c>
      <c r="H4" s="9" t="s">
        <v>56</v>
      </c>
      <c r="I4" s="9" t="s">
        <v>57</v>
      </c>
      <c r="J4" s="9" t="s">
        <v>58</v>
      </c>
      <c r="K4" s="10" t="s">
        <v>59</v>
      </c>
    </row>
    <row r="5" spans="2:12" ht="13.5" customHeight="1">
      <c r="B5" s="20">
        <v>1</v>
      </c>
      <c r="C5" s="20"/>
      <c r="D5" s="20" t="s">
        <v>60</v>
      </c>
      <c r="E5" s="20" t="s">
        <v>61</v>
      </c>
      <c r="F5" s="22" t="s">
        <v>62</v>
      </c>
      <c r="G5" s="22" t="s">
        <v>63</v>
      </c>
      <c r="H5" s="20" t="s">
        <v>64</v>
      </c>
      <c r="I5" s="19" t="s">
        <v>65</v>
      </c>
      <c r="J5" s="19"/>
      <c r="K5" s="23"/>
    </row>
    <row r="6" spans="2:12" ht="13.5" customHeight="1">
      <c r="B6" s="20">
        <v>2</v>
      </c>
      <c r="C6" s="20"/>
      <c r="D6" s="20" t="s">
        <v>60</v>
      </c>
      <c r="E6" s="20" t="s">
        <v>61</v>
      </c>
      <c r="F6" s="22" t="s">
        <v>66</v>
      </c>
      <c r="G6" s="22" t="s">
        <v>63</v>
      </c>
      <c r="H6" s="20" t="s">
        <v>64</v>
      </c>
      <c r="I6" s="19" t="s">
        <v>65</v>
      </c>
      <c r="J6" s="19"/>
      <c r="K6" s="23"/>
    </row>
    <row r="7" spans="2:12" ht="13.5" customHeight="1">
      <c r="B7" s="20">
        <v>3</v>
      </c>
      <c r="C7" s="20"/>
      <c r="D7" s="20" t="s">
        <v>60</v>
      </c>
      <c r="E7" s="20" t="s">
        <v>67</v>
      </c>
      <c r="F7" s="22" t="s">
        <v>68</v>
      </c>
      <c r="G7" s="22" t="s">
        <v>63</v>
      </c>
      <c r="H7" s="20" t="s">
        <v>69</v>
      </c>
      <c r="I7" s="19" t="s">
        <v>65</v>
      </c>
      <c r="J7" s="19" t="s">
        <v>70</v>
      </c>
      <c r="K7" s="23"/>
    </row>
    <row r="8" spans="2:12" ht="13.5" customHeight="1">
      <c r="B8" s="20">
        <v>4</v>
      </c>
      <c r="C8" s="20"/>
      <c r="D8" s="20" t="s">
        <v>60</v>
      </c>
      <c r="E8" s="20" t="s">
        <v>67</v>
      </c>
      <c r="F8" s="22" t="s">
        <v>71</v>
      </c>
      <c r="G8" s="22" t="s">
        <v>63</v>
      </c>
      <c r="H8" s="20" t="s">
        <v>69</v>
      </c>
      <c r="I8" s="19" t="s">
        <v>65</v>
      </c>
      <c r="J8" s="19" t="s">
        <v>70</v>
      </c>
      <c r="K8" s="23"/>
    </row>
    <row r="9" spans="2:12" ht="13.5" customHeight="1">
      <c r="B9" s="20">
        <v>5</v>
      </c>
      <c r="C9" s="20"/>
      <c r="D9" s="20" t="s">
        <v>60</v>
      </c>
      <c r="E9" s="20" t="s">
        <v>67</v>
      </c>
      <c r="F9" s="22" t="s">
        <v>72</v>
      </c>
      <c r="G9" s="22" t="s">
        <v>63</v>
      </c>
      <c r="H9" s="20" t="s">
        <v>69</v>
      </c>
      <c r="I9" s="19" t="s">
        <v>65</v>
      </c>
      <c r="J9" s="19" t="s">
        <v>70</v>
      </c>
      <c r="K9" s="23"/>
    </row>
    <row r="10" spans="2:12" ht="13.5" customHeight="1">
      <c r="B10" s="20">
        <v>6</v>
      </c>
      <c r="C10" s="20"/>
      <c r="D10" s="20" t="s">
        <v>60</v>
      </c>
      <c r="E10" s="20" t="s">
        <v>73</v>
      </c>
      <c r="F10" s="22" t="s">
        <v>74</v>
      </c>
      <c r="G10" s="22" t="s">
        <v>63</v>
      </c>
      <c r="H10" s="20" t="s">
        <v>69</v>
      </c>
      <c r="I10" s="19" t="s">
        <v>65</v>
      </c>
      <c r="J10" s="19"/>
      <c r="K10" s="23"/>
    </row>
    <row r="11" spans="2:12" ht="13.5" customHeight="1">
      <c r="B11" s="20">
        <v>7</v>
      </c>
      <c r="C11" s="20"/>
      <c r="D11" s="20" t="s">
        <v>60</v>
      </c>
      <c r="E11" s="20" t="s">
        <v>73</v>
      </c>
      <c r="F11" s="22" t="s">
        <v>75</v>
      </c>
      <c r="G11" s="22" t="s">
        <v>63</v>
      </c>
      <c r="H11" s="20" t="s">
        <v>69</v>
      </c>
      <c r="I11" s="19" t="s">
        <v>65</v>
      </c>
      <c r="J11" s="19"/>
      <c r="K11" s="23"/>
    </row>
    <row r="12" spans="2:12" ht="13.5" customHeight="1">
      <c r="B12" s="20">
        <v>8</v>
      </c>
      <c r="C12" s="20"/>
      <c r="D12" s="20" t="s">
        <v>60</v>
      </c>
      <c r="E12" s="20" t="s">
        <v>73</v>
      </c>
      <c r="F12" s="19" t="s">
        <v>76</v>
      </c>
      <c r="G12" s="22" t="s">
        <v>63</v>
      </c>
      <c r="H12" s="20" t="s">
        <v>69</v>
      </c>
      <c r="I12" s="19" t="s">
        <v>65</v>
      </c>
      <c r="J12" s="19"/>
      <c r="K12" s="23"/>
    </row>
    <row r="13" spans="2:12" ht="13.5" customHeight="1">
      <c r="B13" s="20">
        <v>9</v>
      </c>
      <c r="C13" s="20"/>
      <c r="D13" s="20" t="s">
        <v>60</v>
      </c>
      <c r="E13" s="20" t="s">
        <v>77</v>
      </c>
      <c r="F13" s="19" t="s">
        <v>78</v>
      </c>
      <c r="G13" s="22" t="s">
        <v>63</v>
      </c>
      <c r="H13" s="20" t="s">
        <v>69</v>
      </c>
      <c r="I13" s="19" t="s">
        <v>65</v>
      </c>
      <c r="J13" s="19"/>
      <c r="K13" s="23"/>
    </row>
    <row r="14" spans="2:12" ht="13.5" customHeight="1">
      <c r="B14" s="20">
        <v>10</v>
      </c>
      <c r="C14" s="20"/>
      <c r="D14" s="20" t="s">
        <v>60</v>
      </c>
      <c r="E14" s="20" t="s">
        <v>77</v>
      </c>
      <c r="F14" s="19" t="s">
        <v>79</v>
      </c>
      <c r="G14" s="22" t="s">
        <v>63</v>
      </c>
      <c r="H14" s="20" t="s">
        <v>69</v>
      </c>
      <c r="I14" s="19" t="s">
        <v>65</v>
      </c>
      <c r="J14" s="19"/>
      <c r="K14" s="23"/>
    </row>
    <row r="15" spans="2:12" ht="13.5" customHeight="1">
      <c r="B15" s="20">
        <v>11</v>
      </c>
      <c r="C15" s="20"/>
      <c r="D15" s="20" t="s">
        <v>60</v>
      </c>
      <c r="E15" s="20" t="s">
        <v>77</v>
      </c>
      <c r="F15" s="19" t="s">
        <v>80</v>
      </c>
      <c r="G15" s="22" t="s">
        <v>63</v>
      </c>
      <c r="H15" s="20" t="s">
        <v>69</v>
      </c>
      <c r="I15" s="19" t="s">
        <v>65</v>
      </c>
      <c r="J15" s="19"/>
      <c r="K15" s="23"/>
    </row>
    <row r="16" spans="2:12" ht="13.5" customHeight="1">
      <c r="B16" s="20">
        <v>12</v>
      </c>
      <c r="C16" s="20"/>
      <c r="D16" s="20" t="s">
        <v>81</v>
      </c>
      <c r="E16" s="20" t="s">
        <v>61</v>
      </c>
      <c r="F16" s="19" t="s">
        <v>82</v>
      </c>
      <c r="G16" s="22" t="s">
        <v>63</v>
      </c>
      <c r="H16" s="20" t="s">
        <v>64</v>
      </c>
      <c r="I16" s="19" t="s">
        <v>65</v>
      </c>
      <c r="J16" s="19"/>
      <c r="K16" s="23"/>
    </row>
    <row r="17" spans="2:11" ht="13.5" customHeight="1">
      <c r="B17" s="20">
        <v>13</v>
      </c>
      <c r="C17" s="20"/>
      <c r="D17" s="20" t="s">
        <v>81</v>
      </c>
      <c r="E17" s="20" t="s">
        <v>61</v>
      </c>
      <c r="F17" s="19" t="s">
        <v>83</v>
      </c>
      <c r="G17" s="22" t="s">
        <v>63</v>
      </c>
      <c r="H17" s="20" t="s">
        <v>64</v>
      </c>
      <c r="I17" s="19" t="s">
        <v>65</v>
      </c>
      <c r="J17" s="19"/>
      <c r="K17" s="23"/>
    </row>
    <row r="18" spans="2:11" ht="13.5" customHeight="1">
      <c r="B18" s="20">
        <v>14</v>
      </c>
      <c r="C18" s="20"/>
      <c r="D18" s="20" t="s">
        <v>81</v>
      </c>
      <c r="E18" s="20" t="s">
        <v>61</v>
      </c>
      <c r="F18" s="19" t="s">
        <v>84</v>
      </c>
      <c r="G18" s="22" t="s">
        <v>63</v>
      </c>
      <c r="H18" s="20" t="s">
        <v>64</v>
      </c>
      <c r="I18" s="19" t="s">
        <v>65</v>
      </c>
      <c r="J18" s="19"/>
      <c r="K18" s="23"/>
    </row>
    <row r="19" spans="2:11" ht="13.5" customHeight="1">
      <c r="B19" s="20">
        <v>15</v>
      </c>
      <c r="C19" s="20"/>
      <c r="D19" s="20" t="s">
        <v>81</v>
      </c>
      <c r="E19" s="20" t="s">
        <v>61</v>
      </c>
      <c r="F19" s="19" t="s">
        <v>85</v>
      </c>
      <c r="G19" s="22" t="s">
        <v>63</v>
      </c>
      <c r="H19" s="20" t="s">
        <v>64</v>
      </c>
      <c r="I19" s="19" t="s">
        <v>65</v>
      </c>
      <c r="J19" s="19"/>
      <c r="K19" s="23"/>
    </row>
    <row r="20" spans="2:11" ht="13.5" customHeight="1">
      <c r="B20" s="20">
        <v>16</v>
      </c>
      <c r="C20" s="20"/>
      <c r="D20" s="20" t="s">
        <v>81</v>
      </c>
      <c r="E20" s="20" t="s">
        <v>67</v>
      </c>
      <c r="F20" s="19" t="s">
        <v>86</v>
      </c>
      <c r="G20" s="22" t="s">
        <v>63</v>
      </c>
      <c r="H20" s="20" t="s">
        <v>69</v>
      </c>
      <c r="I20" s="19" t="s">
        <v>65</v>
      </c>
      <c r="J20" s="19" t="s">
        <v>87</v>
      </c>
      <c r="K20" s="23"/>
    </row>
    <row r="21" spans="2:11" ht="13.5" customHeight="1">
      <c r="B21" s="20">
        <v>17</v>
      </c>
      <c r="C21" s="20"/>
      <c r="D21" s="20" t="s">
        <v>81</v>
      </c>
      <c r="E21" s="20" t="s">
        <v>67</v>
      </c>
      <c r="F21" s="19" t="s">
        <v>88</v>
      </c>
      <c r="G21" s="22" t="s">
        <v>63</v>
      </c>
      <c r="H21" s="20" t="s">
        <v>69</v>
      </c>
      <c r="I21" s="19" t="s">
        <v>65</v>
      </c>
      <c r="J21" s="19" t="s">
        <v>87</v>
      </c>
      <c r="K21" s="23" t="s">
        <v>89</v>
      </c>
    </row>
    <row r="22" spans="2:11" ht="13.5" customHeight="1">
      <c r="B22" s="20">
        <v>18</v>
      </c>
      <c r="C22" s="20"/>
      <c r="D22" s="20" t="s">
        <v>81</v>
      </c>
      <c r="E22" s="20" t="s">
        <v>67</v>
      </c>
      <c r="F22" s="19" t="s">
        <v>90</v>
      </c>
      <c r="G22" s="22" t="s">
        <v>63</v>
      </c>
      <c r="H22" s="20" t="s">
        <v>69</v>
      </c>
      <c r="I22" s="19" t="s">
        <v>65</v>
      </c>
      <c r="J22" s="19" t="s">
        <v>87</v>
      </c>
      <c r="K22" s="23"/>
    </row>
    <row r="23" spans="2:11" ht="13.5" customHeight="1">
      <c r="B23" s="20">
        <v>19</v>
      </c>
      <c r="C23" s="20"/>
      <c r="D23" s="20" t="s">
        <v>81</v>
      </c>
      <c r="E23" s="20" t="s">
        <v>73</v>
      </c>
      <c r="F23" s="19" t="s">
        <v>91</v>
      </c>
      <c r="G23" s="22" t="s">
        <v>63</v>
      </c>
      <c r="H23" s="20" t="s">
        <v>69</v>
      </c>
      <c r="I23" s="19" t="s">
        <v>65</v>
      </c>
      <c r="J23" s="19"/>
      <c r="K23" s="23"/>
    </row>
    <row r="24" spans="2:11" ht="13.5" customHeight="1">
      <c r="B24" s="20">
        <v>20</v>
      </c>
      <c r="C24" s="20"/>
      <c r="D24" s="20" t="s">
        <v>81</v>
      </c>
      <c r="E24" s="20" t="s">
        <v>73</v>
      </c>
      <c r="F24" s="19" t="s">
        <v>92</v>
      </c>
      <c r="G24" s="22" t="s">
        <v>63</v>
      </c>
      <c r="H24" s="20" t="s">
        <v>69</v>
      </c>
      <c r="I24" s="19" t="s">
        <v>65</v>
      </c>
      <c r="J24" s="19"/>
      <c r="K24" s="23" t="s">
        <v>89</v>
      </c>
    </row>
    <row r="25" spans="2:11" ht="13.5" customHeight="1">
      <c r="B25" s="20">
        <v>21</v>
      </c>
      <c r="C25" s="20"/>
      <c r="D25" s="20" t="s">
        <v>81</v>
      </c>
      <c r="E25" s="20" t="s">
        <v>73</v>
      </c>
      <c r="F25" s="19" t="s">
        <v>93</v>
      </c>
      <c r="G25" s="22" t="s">
        <v>63</v>
      </c>
      <c r="H25" s="20" t="s">
        <v>69</v>
      </c>
      <c r="I25" s="19" t="s">
        <v>65</v>
      </c>
      <c r="J25" s="19"/>
      <c r="K25" s="23"/>
    </row>
    <row r="26" spans="2:11" ht="13.5" customHeight="1">
      <c r="B26" s="20">
        <v>22</v>
      </c>
      <c r="C26" s="20"/>
      <c r="D26" s="20" t="s">
        <v>81</v>
      </c>
      <c r="E26" s="20" t="s">
        <v>73</v>
      </c>
      <c r="F26" s="19" t="s">
        <v>94</v>
      </c>
      <c r="G26" s="22" t="s">
        <v>63</v>
      </c>
      <c r="H26" s="20" t="s">
        <v>69</v>
      </c>
      <c r="I26" s="19" t="s">
        <v>65</v>
      </c>
      <c r="J26" s="19"/>
      <c r="K26" s="23"/>
    </row>
    <row r="27" spans="2:11" ht="13.5" customHeight="1">
      <c r="B27" s="20">
        <v>23</v>
      </c>
      <c r="C27" s="20"/>
      <c r="D27" s="20" t="s">
        <v>81</v>
      </c>
      <c r="E27" s="20" t="s">
        <v>73</v>
      </c>
      <c r="F27" s="19" t="s">
        <v>95</v>
      </c>
      <c r="G27" s="22" t="s">
        <v>63</v>
      </c>
      <c r="H27" s="20" t="s">
        <v>69</v>
      </c>
      <c r="I27" s="19" t="s">
        <v>65</v>
      </c>
      <c r="J27" s="19"/>
      <c r="K27" s="23"/>
    </row>
    <row r="28" spans="2:11" ht="13.5" customHeight="1">
      <c r="B28" s="20">
        <v>24</v>
      </c>
      <c r="C28" s="20"/>
      <c r="D28" s="20" t="s">
        <v>81</v>
      </c>
      <c r="E28" s="20" t="s">
        <v>77</v>
      </c>
      <c r="F28" s="19" t="s">
        <v>96</v>
      </c>
      <c r="G28" s="22" t="s">
        <v>63</v>
      </c>
      <c r="H28" s="20" t="s">
        <v>69</v>
      </c>
      <c r="I28" s="19" t="s">
        <v>65</v>
      </c>
      <c r="J28" s="19"/>
      <c r="K28" s="23"/>
    </row>
    <row r="29" spans="2:11" ht="13.5" customHeight="1">
      <c r="B29" s="20">
        <v>25</v>
      </c>
      <c r="C29" s="20"/>
      <c r="D29" s="20" t="s">
        <v>81</v>
      </c>
      <c r="E29" s="20" t="s">
        <v>77</v>
      </c>
      <c r="F29" s="19" t="s">
        <v>97</v>
      </c>
      <c r="G29" s="22" t="s">
        <v>63</v>
      </c>
      <c r="H29" s="20" t="s">
        <v>69</v>
      </c>
      <c r="I29" s="19" t="s">
        <v>65</v>
      </c>
      <c r="J29" s="19"/>
      <c r="K29" s="23"/>
    </row>
    <row r="30" spans="2:11" ht="13.5" customHeight="1">
      <c r="B30" s="20">
        <v>26</v>
      </c>
      <c r="C30" s="20"/>
      <c r="D30" s="20" t="s">
        <v>81</v>
      </c>
      <c r="E30" s="20" t="s">
        <v>77</v>
      </c>
      <c r="F30" s="19" t="s">
        <v>98</v>
      </c>
      <c r="G30" s="22" t="s">
        <v>63</v>
      </c>
      <c r="H30" s="20" t="s">
        <v>69</v>
      </c>
      <c r="I30" s="19" t="s">
        <v>65</v>
      </c>
      <c r="J30" s="19"/>
      <c r="K30" s="23"/>
    </row>
    <row r="31" spans="2:11" ht="13.5" customHeight="1">
      <c r="B31" s="20">
        <v>27</v>
      </c>
      <c r="C31" s="20"/>
      <c r="D31" s="20" t="s">
        <v>99</v>
      </c>
      <c r="E31" s="20" t="s">
        <v>61</v>
      </c>
      <c r="F31" s="19" t="s">
        <v>100</v>
      </c>
      <c r="G31" s="22" t="s">
        <v>63</v>
      </c>
      <c r="H31" s="20" t="s">
        <v>64</v>
      </c>
      <c r="I31" s="19" t="s">
        <v>65</v>
      </c>
      <c r="J31" s="19"/>
      <c r="K31" s="23"/>
    </row>
    <row r="32" spans="2:11" ht="13.5" customHeight="1">
      <c r="B32" s="20">
        <v>28</v>
      </c>
      <c r="C32" s="20"/>
      <c r="D32" s="20" t="s">
        <v>99</v>
      </c>
      <c r="E32" s="20" t="s">
        <v>61</v>
      </c>
      <c r="F32" s="19" t="s">
        <v>25</v>
      </c>
      <c r="G32" s="22" t="s">
        <v>63</v>
      </c>
      <c r="H32" s="20" t="s">
        <v>64</v>
      </c>
      <c r="I32" s="19" t="s">
        <v>65</v>
      </c>
      <c r="J32" s="19"/>
      <c r="K32" s="23"/>
    </row>
    <row r="33" spans="2:11" ht="13.5" customHeight="1">
      <c r="B33" s="20">
        <v>29</v>
      </c>
      <c r="C33" s="20"/>
      <c r="D33" s="20" t="s">
        <v>99</v>
      </c>
      <c r="E33" s="20" t="s">
        <v>61</v>
      </c>
      <c r="F33" s="19" t="s">
        <v>101</v>
      </c>
      <c r="G33" s="22" t="s">
        <v>63</v>
      </c>
      <c r="H33" s="20" t="s">
        <v>64</v>
      </c>
      <c r="I33" s="19" t="s">
        <v>65</v>
      </c>
      <c r="J33" s="19"/>
      <c r="K33" s="23"/>
    </row>
    <row r="34" spans="2:11" ht="13.5" customHeight="1">
      <c r="B34" s="20">
        <v>30</v>
      </c>
      <c r="C34" s="20"/>
      <c r="D34" s="20" t="s">
        <v>99</v>
      </c>
      <c r="E34" s="20" t="s">
        <v>61</v>
      </c>
      <c r="F34" s="19" t="s">
        <v>102</v>
      </c>
      <c r="G34" s="22" t="s">
        <v>63</v>
      </c>
      <c r="H34" s="20" t="s">
        <v>64</v>
      </c>
      <c r="I34" s="19" t="s">
        <v>65</v>
      </c>
      <c r="J34" s="19"/>
      <c r="K34" s="23"/>
    </row>
    <row r="35" spans="2:11" ht="13.5" customHeight="1">
      <c r="B35" s="20">
        <v>31</v>
      </c>
      <c r="C35" s="20"/>
      <c r="D35" s="20" t="s">
        <v>99</v>
      </c>
      <c r="E35" s="20" t="s">
        <v>67</v>
      </c>
      <c r="F35" s="19" t="s">
        <v>103</v>
      </c>
      <c r="G35" s="22" t="s">
        <v>63</v>
      </c>
      <c r="H35" s="20" t="s">
        <v>69</v>
      </c>
      <c r="I35" s="19" t="s">
        <v>65</v>
      </c>
      <c r="J35" s="19" t="s">
        <v>104</v>
      </c>
      <c r="K35" s="23" t="s">
        <v>89</v>
      </c>
    </row>
    <row r="36" spans="2:11" ht="13.5" customHeight="1">
      <c r="B36" s="20">
        <v>32</v>
      </c>
      <c r="C36" s="20"/>
      <c r="D36" s="20" t="s">
        <v>99</v>
      </c>
      <c r="E36" s="20" t="s">
        <v>67</v>
      </c>
      <c r="F36" s="19" t="s">
        <v>105</v>
      </c>
      <c r="G36" s="22" t="s">
        <v>63</v>
      </c>
      <c r="H36" s="20" t="s">
        <v>69</v>
      </c>
      <c r="I36" s="19" t="s">
        <v>65</v>
      </c>
      <c r="J36" s="19" t="s">
        <v>104</v>
      </c>
      <c r="K36" s="23" t="s">
        <v>89</v>
      </c>
    </row>
    <row r="37" spans="2:11" ht="13.5" customHeight="1">
      <c r="B37" s="20">
        <v>33</v>
      </c>
      <c r="C37" s="20"/>
      <c r="D37" s="20" t="s">
        <v>99</v>
      </c>
      <c r="E37" s="20" t="s">
        <v>67</v>
      </c>
      <c r="F37" s="19" t="s">
        <v>106</v>
      </c>
      <c r="G37" s="22" t="s">
        <v>63</v>
      </c>
      <c r="H37" s="20" t="s">
        <v>69</v>
      </c>
      <c r="I37" s="19" t="s">
        <v>65</v>
      </c>
      <c r="J37" s="19"/>
      <c r="K37" s="23"/>
    </row>
    <row r="38" spans="2:11" ht="13.5" customHeight="1">
      <c r="B38" s="20">
        <v>34</v>
      </c>
      <c r="C38" s="20"/>
      <c r="D38" s="20" t="s">
        <v>99</v>
      </c>
      <c r="E38" s="20" t="s">
        <v>73</v>
      </c>
      <c r="F38" s="19" t="s">
        <v>107</v>
      </c>
      <c r="G38" s="22" t="s">
        <v>63</v>
      </c>
      <c r="H38" s="20" t="s">
        <v>69</v>
      </c>
      <c r="I38" s="19" t="s">
        <v>65</v>
      </c>
      <c r="J38" s="19"/>
      <c r="K38" s="23"/>
    </row>
    <row r="39" spans="2:11" ht="13.5" customHeight="1">
      <c r="B39" s="20">
        <v>35</v>
      </c>
      <c r="C39" s="20"/>
      <c r="D39" s="20" t="s">
        <v>99</v>
      </c>
      <c r="E39" s="20" t="s">
        <v>73</v>
      </c>
      <c r="F39" s="19" t="s">
        <v>108</v>
      </c>
      <c r="G39" s="22" t="s">
        <v>63</v>
      </c>
      <c r="H39" s="20" t="s">
        <v>69</v>
      </c>
      <c r="I39" s="19" t="s">
        <v>65</v>
      </c>
      <c r="J39" s="19"/>
      <c r="K39" s="23"/>
    </row>
    <row r="40" spans="2:11" ht="13.5" customHeight="1">
      <c r="B40" s="20">
        <v>36</v>
      </c>
      <c r="C40" s="20"/>
      <c r="D40" s="20" t="s">
        <v>99</v>
      </c>
      <c r="E40" s="20" t="s">
        <v>73</v>
      </c>
      <c r="F40" s="19" t="s">
        <v>109</v>
      </c>
      <c r="G40" s="22" t="s">
        <v>63</v>
      </c>
      <c r="H40" s="20" t="s">
        <v>69</v>
      </c>
      <c r="I40" s="19" t="s">
        <v>65</v>
      </c>
      <c r="J40" s="19"/>
      <c r="K40" s="23"/>
    </row>
    <row r="41" spans="2:11" ht="13.5" customHeight="1">
      <c r="B41" s="20">
        <v>37</v>
      </c>
      <c r="C41" s="20"/>
      <c r="D41" s="20" t="s">
        <v>99</v>
      </c>
      <c r="E41" s="20" t="s">
        <v>73</v>
      </c>
      <c r="F41" s="19" t="s">
        <v>110</v>
      </c>
      <c r="G41" s="22" t="s">
        <v>63</v>
      </c>
      <c r="H41" s="20" t="s">
        <v>69</v>
      </c>
      <c r="I41" s="19" t="s">
        <v>65</v>
      </c>
      <c r="J41" s="19"/>
      <c r="K41" s="23"/>
    </row>
    <row r="42" spans="2:11" ht="13.5" customHeight="1">
      <c r="B42" s="20">
        <v>38</v>
      </c>
      <c r="C42" s="20"/>
      <c r="D42" s="20" t="s">
        <v>99</v>
      </c>
      <c r="E42" s="20" t="s">
        <v>73</v>
      </c>
      <c r="F42" s="19" t="s">
        <v>111</v>
      </c>
      <c r="G42" s="22" t="s">
        <v>63</v>
      </c>
      <c r="H42" s="20" t="s">
        <v>69</v>
      </c>
      <c r="I42" s="19" t="s">
        <v>65</v>
      </c>
      <c r="J42" s="19"/>
      <c r="K42" s="23"/>
    </row>
    <row r="43" spans="2:11" ht="13.5" customHeight="1">
      <c r="B43" s="20">
        <v>39</v>
      </c>
      <c r="C43" s="20"/>
      <c r="D43" s="20" t="s">
        <v>99</v>
      </c>
      <c r="E43" s="20" t="s">
        <v>77</v>
      </c>
      <c r="F43" s="19" t="s">
        <v>112</v>
      </c>
      <c r="G43" s="22" t="s">
        <v>63</v>
      </c>
      <c r="H43" s="20" t="s">
        <v>69</v>
      </c>
      <c r="I43" s="19" t="s">
        <v>65</v>
      </c>
      <c r="J43" s="19"/>
      <c r="K43" s="23"/>
    </row>
    <row r="44" spans="2:11" ht="13.5" customHeight="1">
      <c r="B44" s="20">
        <v>40</v>
      </c>
      <c r="C44" s="20"/>
      <c r="D44" s="20" t="s">
        <v>99</v>
      </c>
      <c r="E44" s="20" t="s">
        <v>77</v>
      </c>
      <c r="F44" s="22" t="s">
        <v>113</v>
      </c>
      <c r="G44" s="22" t="s">
        <v>63</v>
      </c>
      <c r="H44" s="20" t="s">
        <v>69</v>
      </c>
      <c r="I44" s="19" t="s">
        <v>65</v>
      </c>
      <c r="J44" s="19"/>
      <c r="K44" s="23"/>
    </row>
    <row r="45" spans="2:11" ht="13.5" customHeight="1">
      <c r="B45" s="20">
        <v>41</v>
      </c>
      <c r="C45" s="20"/>
      <c r="D45" s="20" t="s">
        <v>99</v>
      </c>
      <c r="E45" s="20" t="s">
        <v>77</v>
      </c>
      <c r="F45" s="22" t="s">
        <v>114</v>
      </c>
      <c r="G45" s="22" t="s">
        <v>63</v>
      </c>
      <c r="H45" s="20" t="s">
        <v>69</v>
      </c>
      <c r="I45" s="19" t="s">
        <v>65</v>
      </c>
      <c r="J45" s="19"/>
      <c r="K45" s="23"/>
    </row>
    <row r="46" spans="2:11" ht="13.5" customHeight="1">
      <c r="B46" s="20">
        <v>42</v>
      </c>
      <c r="C46" s="20"/>
      <c r="D46" s="20" t="s">
        <v>115</v>
      </c>
      <c r="E46" s="20" t="s">
        <v>61</v>
      </c>
      <c r="F46" s="22" t="s">
        <v>116</v>
      </c>
      <c r="G46" s="22" t="s">
        <v>117</v>
      </c>
      <c r="H46" s="20">
        <v>3</v>
      </c>
      <c r="I46" s="19" t="s">
        <v>65</v>
      </c>
      <c r="J46" s="19" t="s">
        <v>118</v>
      </c>
      <c r="K46" s="23"/>
    </row>
    <row r="47" spans="2:11" ht="13.5" customHeight="1">
      <c r="B47" s="20">
        <v>43</v>
      </c>
      <c r="C47" s="20"/>
      <c r="D47" s="20" t="s">
        <v>115</v>
      </c>
      <c r="E47" s="20" t="s">
        <v>61</v>
      </c>
      <c r="F47" s="22" t="s">
        <v>27</v>
      </c>
      <c r="G47" s="22" t="s">
        <v>117</v>
      </c>
      <c r="H47" s="20">
        <v>3</v>
      </c>
      <c r="I47" s="19" t="s">
        <v>65</v>
      </c>
      <c r="J47" s="19" t="s">
        <v>118</v>
      </c>
      <c r="K47" s="23"/>
    </row>
    <row r="48" spans="2:11" ht="13.5" customHeight="1">
      <c r="B48" s="20">
        <v>44</v>
      </c>
      <c r="C48" s="20"/>
      <c r="D48" s="20" t="s">
        <v>115</v>
      </c>
      <c r="E48" s="20" t="s">
        <v>61</v>
      </c>
      <c r="F48" s="22" t="s">
        <v>119</v>
      </c>
      <c r="G48" s="22" t="s">
        <v>63</v>
      </c>
      <c r="H48" s="20" t="s">
        <v>64</v>
      </c>
      <c r="I48" s="19" t="s">
        <v>65</v>
      </c>
      <c r="J48" s="19" t="s">
        <v>120</v>
      </c>
      <c r="K48" s="23"/>
    </row>
    <row r="49" spans="2:11" ht="13.5" customHeight="1">
      <c r="B49" s="20">
        <v>45</v>
      </c>
      <c r="C49" s="20"/>
      <c r="D49" s="20" t="s">
        <v>115</v>
      </c>
      <c r="E49" s="20" t="s">
        <v>61</v>
      </c>
      <c r="F49" s="22" t="s">
        <v>29</v>
      </c>
      <c r="G49" s="22" t="s">
        <v>63</v>
      </c>
      <c r="H49" s="20" t="s">
        <v>64</v>
      </c>
      <c r="I49" s="19" t="s">
        <v>65</v>
      </c>
      <c r="J49" s="19" t="s">
        <v>120</v>
      </c>
      <c r="K49" s="23"/>
    </row>
    <row r="50" spans="2:11" ht="13.5" customHeight="1">
      <c r="B50" s="20">
        <v>46</v>
      </c>
      <c r="C50" s="20"/>
      <c r="D50" s="20" t="s">
        <v>115</v>
      </c>
      <c r="E50" s="20" t="s">
        <v>67</v>
      </c>
      <c r="F50" s="22" t="s">
        <v>121</v>
      </c>
      <c r="G50" s="22" t="s">
        <v>63</v>
      </c>
      <c r="H50" s="20" t="s">
        <v>69</v>
      </c>
      <c r="I50" s="19" t="s">
        <v>65</v>
      </c>
      <c r="J50" s="19"/>
      <c r="K50" s="23"/>
    </row>
    <row r="51" spans="2:11" ht="13.5" customHeight="1">
      <c r="B51" s="20">
        <v>47</v>
      </c>
      <c r="C51" s="20"/>
      <c r="D51" s="20" t="s">
        <v>115</v>
      </c>
      <c r="E51" s="20" t="s">
        <v>67</v>
      </c>
      <c r="F51" s="22" t="s">
        <v>122</v>
      </c>
      <c r="G51" s="22" t="s">
        <v>63</v>
      </c>
      <c r="H51" s="20" t="s">
        <v>69</v>
      </c>
      <c r="I51" s="19" t="s">
        <v>65</v>
      </c>
      <c r="J51" s="19"/>
      <c r="K51" s="23"/>
    </row>
    <row r="52" spans="2:11" ht="13.5" customHeight="1">
      <c r="B52" s="20">
        <v>48</v>
      </c>
      <c r="C52" s="20"/>
      <c r="D52" s="20" t="s">
        <v>115</v>
      </c>
      <c r="E52" s="20" t="s">
        <v>67</v>
      </c>
      <c r="F52" s="19" t="s">
        <v>123</v>
      </c>
      <c r="G52" s="22" t="s">
        <v>63</v>
      </c>
      <c r="H52" s="20" t="s">
        <v>69</v>
      </c>
      <c r="I52" s="19" t="s">
        <v>65</v>
      </c>
      <c r="J52" s="19"/>
      <c r="K52" s="23"/>
    </row>
    <row r="53" spans="2:11" ht="13.5" customHeight="1">
      <c r="B53" s="20">
        <v>49</v>
      </c>
      <c r="C53" s="20"/>
      <c r="D53" s="20" t="s">
        <v>115</v>
      </c>
      <c r="E53" s="20" t="s">
        <v>67</v>
      </c>
      <c r="F53" s="22" t="s">
        <v>124</v>
      </c>
      <c r="G53" s="22" t="s">
        <v>63</v>
      </c>
      <c r="H53" s="20" t="s">
        <v>69</v>
      </c>
      <c r="I53" s="19" t="s">
        <v>65</v>
      </c>
      <c r="J53" s="19"/>
      <c r="K53" s="23"/>
    </row>
    <row r="54" spans="2:11" ht="13.5" customHeight="1">
      <c r="B54" s="20">
        <v>50</v>
      </c>
      <c r="C54" s="20"/>
      <c r="D54" s="20" t="s">
        <v>115</v>
      </c>
      <c r="E54" s="20" t="s">
        <v>73</v>
      </c>
      <c r="F54" s="22" t="s">
        <v>125</v>
      </c>
      <c r="G54" s="22" t="s">
        <v>63</v>
      </c>
      <c r="H54" s="20" t="s">
        <v>69</v>
      </c>
      <c r="I54" s="19" t="s">
        <v>65</v>
      </c>
      <c r="J54" s="19"/>
      <c r="K54" s="23"/>
    </row>
    <row r="55" spans="2:11" ht="13.5" customHeight="1">
      <c r="B55" s="20">
        <v>51</v>
      </c>
      <c r="C55" s="20"/>
      <c r="D55" s="20" t="s">
        <v>115</v>
      </c>
      <c r="E55" s="20" t="s">
        <v>73</v>
      </c>
      <c r="F55" s="22" t="s">
        <v>126</v>
      </c>
      <c r="G55" s="22" t="s">
        <v>63</v>
      </c>
      <c r="H55" s="20" t="s">
        <v>69</v>
      </c>
      <c r="I55" s="19" t="s">
        <v>65</v>
      </c>
      <c r="J55" s="19"/>
      <c r="K55" s="23"/>
    </row>
    <row r="56" spans="2:11" ht="13.5" customHeight="1">
      <c r="B56" s="20">
        <v>52</v>
      </c>
      <c r="C56" s="20"/>
      <c r="D56" s="20" t="s">
        <v>115</v>
      </c>
      <c r="E56" s="20" t="s">
        <v>73</v>
      </c>
      <c r="F56" s="22" t="s">
        <v>127</v>
      </c>
      <c r="G56" s="22" t="s">
        <v>63</v>
      </c>
      <c r="H56" s="20" t="s">
        <v>69</v>
      </c>
      <c r="I56" s="19" t="s">
        <v>65</v>
      </c>
      <c r="J56" s="19"/>
      <c r="K56" s="23"/>
    </row>
    <row r="57" spans="2:11" ht="13.5" customHeight="1">
      <c r="B57" s="20">
        <v>53</v>
      </c>
      <c r="C57" s="20"/>
      <c r="D57" s="20" t="s">
        <v>115</v>
      </c>
      <c r="E57" s="20" t="s">
        <v>73</v>
      </c>
      <c r="F57" s="22" t="s">
        <v>128</v>
      </c>
      <c r="G57" s="22" t="s">
        <v>63</v>
      </c>
      <c r="H57" s="20" t="s">
        <v>69</v>
      </c>
      <c r="I57" s="19" t="s">
        <v>65</v>
      </c>
      <c r="J57" s="19"/>
      <c r="K57" s="23"/>
    </row>
    <row r="58" spans="2:11" ht="13.5" customHeight="1">
      <c r="B58" s="20">
        <v>54</v>
      </c>
      <c r="C58" s="20"/>
      <c r="D58" s="20" t="s">
        <v>115</v>
      </c>
      <c r="E58" s="20" t="s">
        <v>73</v>
      </c>
      <c r="F58" s="22" t="s">
        <v>129</v>
      </c>
      <c r="G58" s="22" t="s">
        <v>63</v>
      </c>
      <c r="H58" s="20" t="s">
        <v>69</v>
      </c>
      <c r="I58" s="19" t="s">
        <v>65</v>
      </c>
      <c r="J58" s="19"/>
      <c r="K58" s="23"/>
    </row>
    <row r="59" spans="2:11" ht="13.5" customHeight="1">
      <c r="B59" s="20">
        <v>55</v>
      </c>
      <c r="C59" s="20"/>
      <c r="D59" s="20" t="s">
        <v>115</v>
      </c>
      <c r="E59" s="20" t="s">
        <v>73</v>
      </c>
      <c r="F59" s="22" t="s">
        <v>130</v>
      </c>
      <c r="G59" s="22" t="s">
        <v>63</v>
      </c>
      <c r="H59" s="20" t="s">
        <v>69</v>
      </c>
      <c r="I59" s="19" t="s">
        <v>65</v>
      </c>
      <c r="J59" s="19"/>
      <c r="K59" s="23"/>
    </row>
    <row r="60" spans="2:11" ht="13.5" customHeight="1">
      <c r="B60" s="20">
        <v>56</v>
      </c>
      <c r="C60" s="20"/>
      <c r="D60" s="20" t="s">
        <v>115</v>
      </c>
      <c r="E60" s="20" t="s">
        <v>73</v>
      </c>
      <c r="F60" s="22" t="s">
        <v>131</v>
      </c>
      <c r="G60" s="22" t="s">
        <v>63</v>
      </c>
      <c r="H60" s="20" t="s">
        <v>69</v>
      </c>
      <c r="I60" s="19" t="s">
        <v>65</v>
      </c>
      <c r="J60" s="19"/>
      <c r="K60" s="23"/>
    </row>
    <row r="61" spans="2:11" ht="13.5" customHeight="1">
      <c r="B61" s="20">
        <v>57</v>
      </c>
      <c r="C61" s="20"/>
      <c r="D61" s="20" t="s">
        <v>115</v>
      </c>
      <c r="E61" s="20" t="s">
        <v>73</v>
      </c>
      <c r="F61" s="22" t="s">
        <v>132</v>
      </c>
      <c r="G61" s="22" t="s">
        <v>63</v>
      </c>
      <c r="H61" s="20" t="s">
        <v>69</v>
      </c>
      <c r="I61" s="19" t="s">
        <v>65</v>
      </c>
      <c r="J61" s="19"/>
      <c r="K61" s="23"/>
    </row>
    <row r="62" spans="2:11" ht="13.5" customHeight="1">
      <c r="B62" s="20">
        <v>58</v>
      </c>
      <c r="C62" s="20"/>
      <c r="D62" s="20" t="s">
        <v>115</v>
      </c>
      <c r="E62" s="20" t="s">
        <v>73</v>
      </c>
      <c r="F62" s="22" t="s">
        <v>133</v>
      </c>
      <c r="G62" s="22" t="s">
        <v>63</v>
      </c>
      <c r="H62" s="20" t="s">
        <v>69</v>
      </c>
      <c r="I62" s="19" t="s">
        <v>65</v>
      </c>
      <c r="J62" s="19"/>
      <c r="K62" s="23"/>
    </row>
    <row r="63" spans="2:11" ht="13.5" customHeight="1">
      <c r="B63" s="20">
        <v>59</v>
      </c>
      <c r="C63" s="20"/>
      <c r="D63" s="20" t="s">
        <v>115</v>
      </c>
      <c r="E63" s="20" t="s">
        <v>77</v>
      </c>
      <c r="F63" s="22" t="s">
        <v>134</v>
      </c>
      <c r="G63" s="22" t="s">
        <v>63</v>
      </c>
      <c r="H63" s="20" t="s">
        <v>69</v>
      </c>
      <c r="I63" s="19" t="s">
        <v>46</v>
      </c>
      <c r="J63" s="19"/>
      <c r="K63" s="23"/>
    </row>
    <row r="64" spans="2:11" ht="13.5" customHeight="1">
      <c r="B64" s="20">
        <v>60</v>
      </c>
      <c r="C64" s="20"/>
      <c r="D64" s="20" t="s">
        <v>115</v>
      </c>
      <c r="E64" s="20" t="s">
        <v>77</v>
      </c>
      <c r="F64" s="22" t="s">
        <v>135</v>
      </c>
      <c r="G64" s="22" t="s">
        <v>63</v>
      </c>
      <c r="H64" s="20" t="s">
        <v>69</v>
      </c>
      <c r="I64" s="19" t="s">
        <v>46</v>
      </c>
      <c r="J64" s="19"/>
      <c r="K64" s="23"/>
    </row>
    <row r="65" spans="2:11" ht="13.5" customHeight="1">
      <c r="B65" s="20">
        <v>61</v>
      </c>
      <c r="C65" s="20"/>
      <c r="D65" s="20" t="s">
        <v>115</v>
      </c>
      <c r="E65" s="20" t="s">
        <v>77</v>
      </c>
      <c r="F65" s="22" t="s">
        <v>136</v>
      </c>
      <c r="G65" s="22" t="s">
        <v>63</v>
      </c>
      <c r="H65" s="20" t="s">
        <v>69</v>
      </c>
      <c r="I65" s="19" t="s">
        <v>46</v>
      </c>
      <c r="J65" s="19"/>
      <c r="K65" s="23"/>
    </row>
    <row r="66" spans="2:11" ht="13.5" customHeight="1">
      <c r="B66" s="20">
        <v>62</v>
      </c>
      <c r="C66" s="20"/>
      <c r="D66" s="20" t="s">
        <v>115</v>
      </c>
      <c r="E66" s="20" t="s">
        <v>77</v>
      </c>
      <c r="F66" s="22" t="s">
        <v>137</v>
      </c>
      <c r="G66" s="22" t="s">
        <v>63</v>
      </c>
      <c r="H66" s="20" t="s">
        <v>69</v>
      </c>
      <c r="I66" s="19" t="s">
        <v>46</v>
      </c>
      <c r="J66" s="19"/>
      <c r="K66" s="23"/>
    </row>
    <row r="67" spans="2:11" ht="13.5" customHeight="1">
      <c r="B67" s="20">
        <v>63</v>
      </c>
      <c r="C67" s="20"/>
      <c r="D67" s="20" t="s">
        <v>115</v>
      </c>
      <c r="E67" s="20" t="s">
        <v>77</v>
      </c>
      <c r="F67" s="22" t="s">
        <v>138</v>
      </c>
      <c r="G67" s="22" t="s">
        <v>63</v>
      </c>
      <c r="H67" s="20" t="s">
        <v>69</v>
      </c>
      <c r="I67" s="19" t="s">
        <v>46</v>
      </c>
      <c r="J67" s="19"/>
      <c r="K67" s="23"/>
    </row>
    <row r="68" spans="2:11" ht="13.5" customHeight="1">
      <c r="B68" s="20">
        <v>64</v>
      </c>
      <c r="C68" s="20"/>
      <c r="D68" s="20" t="s">
        <v>115</v>
      </c>
      <c r="E68" s="20" t="s">
        <v>77</v>
      </c>
      <c r="F68" s="22" t="s">
        <v>139</v>
      </c>
      <c r="G68" s="22" t="s">
        <v>63</v>
      </c>
      <c r="H68" s="20" t="s">
        <v>69</v>
      </c>
      <c r="I68" s="19" t="s">
        <v>46</v>
      </c>
      <c r="J68" s="19"/>
      <c r="K68" s="23"/>
    </row>
    <row r="69" spans="2:11" ht="13.5" customHeight="1">
      <c r="B69" s="20">
        <v>65</v>
      </c>
      <c r="C69" s="20"/>
      <c r="D69" s="20" t="s">
        <v>140</v>
      </c>
      <c r="E69" s="20" t="s">
        <v>61</v>
      </c>
      <c r="F69" s="22" t="s">
        <v>141</v>
      </c>
      <c r="G69" s="22" t="s">
        <v>63</v>
      </c>
      <c r="H69" s="20" t="s">
        <v>64</v>
      </c>
      <c r="I69" s="19" t="s">
        <v>65</v>
      </c>
      <c r="J69" s="19" t="s">
        <v>120</v>
      </c>
      <c r="K69" s="23"/>
    </row>
    <row r="70" spans="2:11" ht="13.5" customHeight="1">
      <c r="B70" s="20">
        <v>66</v>
      </c>
      <c r="C70" s="20"/>
      <c r="D70" s="20" t="s">
        <v>140</v>
      </c>
      <c r="E70" s="20" t="s">
        <v>61</v>
      </c>
      <c r="F70" s="22" t="s">
        <v>31</v>
      </c>
      <c r="G70" s="22" t="s">
        <v>63</v>
      </c>
      <c r="H70" s="20" t="s">
        <v>64</v>
      </c>
      <c r="I70" s="19" t="s">
        <v>65</v>
      </c>
      <c r="J70" s="19" t="s">
        <v>120</v>
      </c>
      <c r="K70" s="23"/>
    </row>
    <row r="71" spans="2:11" ht="13.5" customHeight="1">
      <c r="B71" s="20">
        <v>67</v>
      </c>
      <c r="C71" s="20"/>
      <c r="D71" s="20" t="s">
        <v>140</v>
      </c>
      <c r="E71" s="20" t="s">
        <v>61</v>
      </c>
      <c r="F71" s="24" t="s">
        <v>142</v>
      </c>
      <c r="G71" s="22" t="s">
        <v>143</v>
      </c>
      <c r="H71" s="20">
        <v>1</v>
      </c>
      <c r="I71" s="19" t="s">
        <v>390</v>
      </c>
      <c r="J71" s="19"/>
      <c r="K71" s="23"/>
    </row>
    <row r="72" spans="2:11" ht="13.5" customHeight="1">
      <c r="B72" s="20">
        <v>68</v>
      </c>
      <c r="C72" s="20"/>
      <c r="D72" s="20" t="s">
        <v>140</v>
      </c>
      <c r="E72" s="20" t="s">
        <v>61</v>
      </c>
      <c r="F72" s="24" t="s">
        <v>34</v>
      </c>
      <c r="G72" s="22" t="s">
        <v>143</v>
      </c>
      <c r="H72" s="20">
        <v>1</v>
      </c>
      <c r="I72" s="19" t="s">
        <v>390</v>
      </c>
      <c r="J72" s="19"/>
      <c r="K72" s="23"/>
    </row>
    <row r="73" spans="2:11" ht="13.5" customHeight="1">
      <c r="B73" s="20">
        <v>69</v>
      </c>
      <c r="C73" s="20"/>
      <c r="D73" s="20" t="s">
        <v>140</v>
      </c>
      <c r="E73" s="20" t="s">
        <v>67</v>
      </c>
      <c r="F73" s="22" t="s">
        <v>144</v>
      </c>
      <c r="G73" s="22" t="s">
        <v>63</v>
      </c>
      <c r="H73" s="20" t="s">
        <v>69</v>
      </c>
      <c r="I73" s="19" t="s">
        <v>65</v>
      </c>
      <c r="J73" s="19"/>
      <c r="K73" s="23"/>
    </row>
    <row r="74" spans="2:11" ht="13.5" customHeight="1">
      <c r="B74" s="20">
        <v>70</v>
      </c>
      <c r="C74" s="20"/>
      <c r="D74" s="20" t="s">
        <v>140</v>
      </c>
      <c r="E74" s="20" t="s">
        <v>67</v>
      </c>
      <c r="F74" s="22" t="s">
        <v>145</v>
      </c>
      <c r="G74" s="22" t="s">
        <v>63</v>
      </c>
      <c r="H74" s="20" t="s">
        <v>69</v>
      </c>
      <c r="I74" s="19" t="s">
        <v>65</v>
      </c>
      <c r="J74" s="19"/>
      <c r="K74" s="23"/>
    </row>
    <row r="75" spans="2:11" ht="13.5" customHeight="1">
      <c r="B75" s="20">
        <v>71</v>
      </c>
      <c r="C75" s="20"/>
      <c r="D75" s="20" t="s">
        <v>140</v>
      </c>
      <c r="E75" s="20" t="s">
        <v>67</v>
      </c>
      <c r="F75" s="22" t="s">
        <v>146</v>
      </c>
      <c r="G75" s="22" t="s">
        <v>63</v>
      </c>
      <c r="H75" s="20" t="s">
        <v>69</v>
      </c>
      <c r="I75" s="19" t="s">
        <v>65</v>
      </c>
      <c r="J75" s="19"/>
      <c r="K75" s="23"/>
    </row>
    <row r="76" spans="2:11" ht="13.5" customHeight="1">
      <c r="B76" s="20">
        <v>72</v>
      </c>
      <c r="C76" s="20"/>
      <c r="D76" s="20" t="s">
        <v>140</v>
      </c>
      <c r="E76" s="20" t="s">
        <v>67</v>
      </c>
      <c r="F76" s="22" t="s">
        <v>147</v>
      </c>
      <c r="G76" s="22" t="s">
        <v>63</v>
      </c>
      <c r="H76" s="20" t="s">
        <v>69</v>
      </c>
      <c r="I76" s="19" t="s">
        <v>65</v>
      </c>
      <c r="J76" s="19"/>
      <c r="K76" s="23"/>
    </row>
    <row r="77" spans="2:11" ht="13.5" customHeight="1">
      <c r="B77" s="20">
        <v>73</v>
      </c>
      <c r="C77" s="20"/>
      <c r="D77" s="20" t="s">
        <v>140</v>
      </c>
      <c r="E77" s="20" t="s">
        <v>73</v>
      </c>
      <c r="F77" s="22" t="s">
        <v>148</v>
      </c>
      <c r="G77" s="22" t="s">
        <v>63</v>
      </c>
      <c r="H77" s="20" t="s">
        <v>69</v>
      </c>
      <c r="I77" s="19" t="s">
        <v>65</v>
      </c>
      <c r="J77" s="19"/>
      <c r="K77" s="23"/>
    </row>
    <row r="78" spans="2:11" ht="13.5" customHeight="1">
      <c r="B78" s="20">
        <v>74</v>
      </c>
      <c r="C78" s="20"/>
      <c r="D78" s="20" t="s">
        <v>140</v>
      </c>
      <c r="E78" s="20" t="s">
        <v>73</v>
      </c>
      <c r="F78" s="22" t="s">
        <v>149</v>
      </c>
      <c r="G78" s="22" t="s">
        <v>63</v>
      </c>
      <c r="H78" s="20" t="s">
        <v>69</v>
      </c>
      <c r="I78" s="19" t="s">
        <v>65</v>
      </c>
      <c r="J78" s="19"/>
      <c r="K78" s="23"/>
    </row>
    <row r="79" spans="2:11" ht="13.5" customHeight="1">
      <c r="B79" s="20">
        <v>75</v>
      </c>
      <c r="C79" s="20"/>
      <c r="D79" s="20" t="s">
        <v>140</v>
      </c>
      <c r="E79" s="20" t="s">
        <v>73</v>
      </c>
      <c r="F79" s="22" t="s">
        <v>150</v>
      </c>
      <c r="G79" s="22" t="s">
        <v>63</v>
      </c>
      <c r="H79" s="20" t="s">
        <v>69</v>
      </c>
      <c r="I79" s="19" t="s">
        <v>65</v>
      </c>
      <c r="J79" s="19"/>
      <c r="K79" s="23"/>
    </row>
    <row r="80" spans="2:11" ht="13.5" customHeight="1">
      <c r="B80" s="20">
        <v>76</v>
      </c>
      <c r="C80" s="20"/>
      <c r="D80" s="20" t="s">
        <v>140</v>
      </c>
      <c r="E80" s="20" t="s">
        <v>73</v>
      </c>
      <c r="F80" s="22" t="s">
        <v>151</v>
      </c>
      <c r="G80" s="22" t="s">
        <v>63</v>
      </c>
      <c r="H80" s="20" t="s">
        <v>69</v>
      </c>
      <c r="I80" s="19" t="s">
        <v>65</v>
      </c>
      <c r="J80" s="19"/>
      <c r="K80" s="23"/>
    </row>
    <row r="81" spans="2:11" ht="13.5" customHeight="1">
      <c r="B81" s="20">
        <v>77</v>
      </c>
      <c r="C81" s="20"/>
      <c r="D81" s="20" t="s">
        <v>140</v>
      </c>
      <c r="E81" s="20" t="s">
        <v>73</v>
      </c>
      <c r="F81" s="22" t="s">
        <v>152</v>
      </c>
      <c r="G81" s="22" t="s">
        <v>63</v>
      </c>
      <c r="H81" s="20" t="s">
        <v>69</v>
      </c>
      <c r="I81" s="19" t="s">
        <v>65</v>
      </c>
      <c r="J81" s="19"/>
      <c r="K81" s="23"/>
    </row>
    <row r="82" spans="2:11" ht="13.5" customHeight="1">
      <c r="B82" s="20">
        <v>78</v>
      </c>
      <c r="C82" s="20"/>
      <c r="D82" s="20" t="s">
        <v>140</v>
      </c>
      <c r="E82" s="20" t="s">
        <v>73</v>
      </c>
      <c r="F82" s="22" t="s">
        <v>153</v>
      </c>
      <c r="G82" s="22" t="s">
        <v>63</v>
      </c>
      <c r="H82" s="20" t="s">
        <v>69</v>
      </c>
      <c r="I82" s="19" t="s">
        <v>65</v>
      </c>
      <c r="J82" s="19"/>
      <c r="K82" s="23"/>
    </row>
    <row r="83" spans="2:11" ht="13.5" customHeight="1">
      <c r="B83" s="20">
        <v>79</v>
      </c>
      <c r="C83" s="20"/>
      <c r="D83" s="20" t="s">
        <v>140</v>
      </c>
      <c r="E83" s="20" t="s">
        <v>73</v>
      </c>
      <c r="F83" s="22" t="s">
        <v>154</v>
      </c>
      <c r="G83" s="22" t="s">
        <v>63</v>
      </c>
      <c r="H83" s="20" t="s">
        <v>69</v>
      </c>
      <c r="I83" s="19" t="s">
        <v>65</v>
      </c>
      <c r="J83" s="19"/>
      <c r="K83" s="23"/>
    </row>
    <row r="84" spans="2:11" ht="13.5" customHeight="1">
      <c r="B84" s="20">
        <v>80</v>
      </c>
      <c r="C84" s="20"/>
      <c r="D84" s="20" t="s">
        <v>140</v>
      </c>
      <c r="E84" s="20" t="s">
        <v>73</v>
      </c>
      <c r="F84" s="22" t="s">
        <v>155</v>
      </c>
      <c r="G84" s="22" t="s">
        <v>63</v>
      </c>
      <c r="H84" s="20" t="s">
        <v>69</v>
      </c>
      <c r="I84" s="19" t="s">
        <v>65</v>
      </c>
      <c r="J84" s="19"/>
      <c r="K84" s="23"/>
    </row>
    <row r="85" spans="2:11" ht="13.5" customHeight="1">
      <c r="B85" s="20">
        <v>81</v>
      </c>
      <c r="C85" s="20"/>
      <c r="D85" s="20" t="s">
        <v>140</v>
      </c>
      <c r="E85" s="20" t="s">
        <v>77</v>
      </c>
      <c r="F85" s="22" t="s">
        <v>156</v>
      </c>
      <c r="G85" s="22" t="s">
        <v>63</v>
      </c>
      <c r="H85" s="20" t="s">
        <v>69</v>
      </c>
      <c r="I85" s="19" t="s">
        <v>46</v>
      </c>
      <c r="J85" s="19"/>
      <c r="K85" s="23"/>
    </row>
    <row r="86" spans="2:11" ht="13.5" customHeight="1">
      <c r="B86" s="20">
        <v>82</v>
      </c>
      <c r="C86" s="20"/>
      <c r="D86" s="20" t="s">
        <v>140</v>
      </c>
      <c r="E86" s="20" t="s">
        <v>77</v>
      </c>
      <c r="F86" s="22" t="s">
        <v>157</v>
      </c>
      <c r="G86" s="22" t="s">
        <v>63</v>
      </c>
      <c r="H86" s="20" t="s">
        <v>69</v>
      </c>
      <c r="I86" s="19" t="s">
        <v>46</v>
      </c>
      <c r="J86" s="19"/>
      <c r="K86" s="23"/>
    </row>
    <row r="87" spans="2:11" ht="13.5" customHeight="1">
      <c r="B87" s="20">
        <v>83</v>
      </c>
      <c r="C87" s="20"/>
      <c r="D87" s="20" t="s">
        <v>140</v>
      </c>
      <c r="E87" s="20" t="s">
        <v>77</v>
      </c>
      <c r="F87" s="19" t="s">
        <v>158</v>
      </c>
      <c r="G87" s="22" t="s">
        <v>63</v>
      </c>
      <c r="H87" s="20" t="s">
        <v>69</v>
      </c>
      <c r="I87" s="19" t="s">
        <v>46</v>
      </c>
      <c r="J87" s="19"/>
      <c r="K87" s="23"/>
    </row>
    <row r="88" spans="2:11" ht="13.5" customHeight="1">
      <c r="B88" s="20">
        <v>84</v>
      </c>
      <c r="C88" s="20"/>
      <c r="D88" s="20" t="s">
        <v>159</v>
      </c>
      <c r="E88" s="20" t="s">
        <v>67</v>
      </c>
      <c r="F88" s="19" t="s">
        <v>160</v>
      </c>
      <c r="G88" s="19" t="s">
        <v>117</v>
      </c>
      <c r="H88" s="20" t="s">
        <v>161</v>
      </c>
      <c r="I88" s="19" t="s">
        <v>390</v>
      </c>
      <c r="J88" s="19"/>
      <c r="K88" s="23"/>
    </row>
    <row r="89" spans="2:11" ht="13.5" customHeight="1">
      <c r="B89" s="20">
        <v>85</v>
      </c>
      <c r="C89" s="20"/>
      <c r="D89" s="20" t="s">
        <v>159</v>
      </c>
      <c r="E89" s="20" t="s">
        <v>67</v>
      </c>
      <c r="F89" s="19" t="s">
        <v>162</v>
      </c>
      <c r="G89" s="19" t="s">
        <v>117</v>
      </c>
      <c r="H89" s="20" t="s">
        <v>161</v>
      </c>
      <c r="I89" s="19" t="s">
        <v>390</v>
      </c>
      <c r="J89" s="19"/>
      <c r="K89" s="23"/>
    </row>
    <row r="90" spans="2:11" ht="13.5" customHeight="1">
      <c r="B90" s="20">
        <v>86</v>
      </c>
      <c r="C90" s="20"/>
      <c r="D90" s="20" t="s">
        <v>159</v>
      </c>
      <c r="E90" s="20" t="s">
        <v>73</v>
      </c>
      <c r="F90" s="19" t="s">
        <v>163</v>
      </c>
      <c r="G90" s="19" t="s">
        <v>117</v>
      </c>
      <c r="H90" s="20" t="s">
        <v>161</v>
      </c>
      <c r="I90" s="19" t="s">
        <v>390</v>
      </c>
      <c r="J90" s="19"/>
      <c r="K90" s="23"/>
    </row>
    <row r="91" spans="2:11" ht="13.5" customHeight="1">
      <c r="B91" s="20">
        <v>87</v>
      </c>
      <c r="C91" s="20"/>
      <c r="D91" s="20" t="s">
        <v>159</v>
      </c>
      <c r="E91" s="20" t="s">
        <v>73</v>
      </c>
      <c r="F91" s="19" t="s">
        <v>164</v>
      </c>
      <c r="G91" s="19" t="s">
        <v>165</v>
      </c>
      <c r="H91" s="20" t="s">
        <v>166</v>
      </c>
      <c r="I91" s="19" t="s">
        <v>390</v>
      </c>
      <c r="J91" s="19"/>
      <c r="K91" s="23"/>
    </row>
    <row r="92" spans="2:11" ht="13.5" customHeight="1">
      <c r="B92" s="20">
        <v>88</v>
      </c>
      <c r="C92" s="20"/>
      <c r="D92" s="20" t="s">
        <v>159</v>
      </c>
      <c r="E92" s="20" t="s">
        <v>73</v>
      </c>
      <c r="F92" s="19" t="s">
        <v>167</v>
      </c>
      <c r="G92" s="19" t="s">
        <v>165</v>
      </c>
      <c r="H92" s="20" t="s">
        <v>166</v>
      </c>
      <c r="I92" s="19" t="s">
        <v>390</v>
      </c>
      <c r="J92" s="19"/>
      <c r="K92" s="23"/>
    </row>
    <row r="93" spans="2:11" ht="13.5" customHeight="1">
      <c r="B93" s="20">
        <v>89</v>
      </c>
      <c r="C93" s="20"/>
      <c r="D93" s="20" t="s">
        <v>159</v>
      </c>
      <c r="E93" s="20" t="s">
        <v>77</v>
      </c>
      <c r="F93" s="19" t="s">
        <v>168</v>
      </c>
      <c r="G93" s="19" t="s">
        <v>117</v>
      </c>
      <c r="H93" s="20" t="s">
        <v>161</v>
      </c>
      <c r="I93" s="19" t="s">
        <v>390</v>
      </c>
      <c r="J93" s="19"/>
      <c r="K93" s="23"/>
    </row>
    <row r="94" spans="2:11" ht="13.5" customHeight="1">
      <c r="B94" s="20">
        <v>90</v>
      </c>
      <c r="C94" s="20"/>
      <c r="D94" s="20" t="s">
        <v>159</v>
      </c>
      <c r="E94" s="20" t="s">
        <v>77</v>
      </c>
      <c r="F94" s="19" t="s">
        <v>169</v>
      </c>
      <c r="G94" s="19" t="s">
        <v>117</v>
      </c>
      <c r="H94" s="20" t="s">
        <v>161</v>
      </c>
      <c r="I94" s="19" t="s">
        <v>390</v>
      </c>
      <c r="J94" s="19"/>
      <c r="K94" s="23"/>
    </row>
    <row r="95" spans="2:11" ht="13.5" customHeight="1">
      <c r="B95" s="20">
        <v>91</v>
      </c>
      <c r="C95" s="20"/>
      <c r="D95" s="20" t="s">
        <v>170</v>
      </c>
      <c r="E95" s="20" t="s">
        <v>67</v>
      </c>
      <c r="F95" s="19" t="s">
        <v>171</v>
      </c>
      <c r="G95" s="19" t="s">
        <v>117</v>
      </c>
      <c r="H95" s="20" t="s">
        <v>161</v>
      </c>
      <c r="I95" s="19" t="s">
        <v>390</v>
      </c>
      <c r="J95" s="19"/>
      <c r="K95" s="23"/>
    </row>
    <row r="96" spans="2:11" ht="13.5" customHeight="1">
      <c r="B96" s="20">
        <v>92</v>
      </c>
      <c r="C96" s="20"/>
      <c r="D96" s="20" t="s">
        <v>170</v>
      </c>
      <c r="E96" s="20" t="s">
        <v>67</v>
      </c>
      <c r="F96" s="19" t="s">
        <v>172</v>
      </c>
      <c r="G96" s="19" t="s">
        <v>117</v>
      </c>
      <c r="H96" s="20" t="s">
        <v>161</v>
      </c>
      <c r="I96" s="19" t="s">
        <v>390</v>
      </c>
      <c r="J96" s="19"/>
      <c r="K96" s="23"/>
    </row>
    <row r="97" spans="2:11" ht="13.5" customHeight="1">
      <c r="B97" s="20">
        <v>93</v>
      </c>
      <c r="C97" s="20"/>
      <c r="D97" s="20" t="s">
        <v>170</v>
      </c>
      <c r="E97" s="20" t="s">
        <v>67</v>
      </c>
      <c r="F97" s="19" t="s">
        <v>173</v>
      </c>
      <c r="G97" s="19" t="s">
        <v>117</v>
      </c>
      <c r="H97" s="20" t="s">
        <v>161</v>
      </c>
      <c r="I97" s="19" t="s">
        <v>390</v>
      </c>
      <c r="J97" s="19"/>
      <c r="K97" s="23"/>
    </row>
    <row r="98" spans="2:11" ht="13.5" customHeight="1">
      <c r="B98" s="20">
        <v>94</v>
      </c>
      <c r="C98" s="20"/>
      <c r="D98" s="20" t="s">
        <v>170</v>
      </c>
      <c r="E98" s="20" t="s">
        <v>73</v>
      </c>
      <c r="F98" s="19" t="s">
        <v>174</v>
      </c>
      <c r="G98" s="19" t="s">
        <v>117</v>
      </c>
      <c r="H98" s="20" t="s">
        <v>161</v>
      </c>
      <c r="I98" s="19" t="s">
        <v>390</v>
      </c>
      <c r="J98" s="19"/>
      <c r="K98" s="23"/>
    </row>
    <row r="99" spans="2:11" ht="13.5" customHeight="1">
      <c r="B99" s="20">
        <v>95</v>
      </c>
      <c r="C99" s="20"/>
      <c r="D99" s="20" t="s">
        <v>170</v>
      </c>
      <c r="E99" s="20" t="s">
        <v>73</v>
      </c>
      <c r="F99" s="19" t="s">
        <v>175</v>
      </c>
      <c r="G99" s="19" t="s">
        <v>117</v>
      </c>
      <c r="H99" s="20" t="s">
        <v>161</v>
      </c>
      <c r="I99" s="19" t="s">
        <v>390</v>
      </c>
      <c r="J99" s="19"/>
      <c r="K99" s="23"/>
    </row>
    <row r="100" spans="2:11" ht="13.5" customHeight="1">
      <c r="B100" s="20">
        <v>96</v>
      </c>
      <c r="C100" s="20"/>
      <c r="D100" s="20" t="s">
        <v>170</v>
      </c>
      <c r="E100" s="20" t="s">
        <v>73</v>
      </c>
      <c r="F100" s="22" t="s">
        <v>176</v>
      </c>
      <c r="G100" s="19" t="s">
        <v>117</v>
      </c>
      <c r="H100" s="20" t="s">
        <v>161</v>
      </c>
      <c r="I100" s="19" t="s">
        <v>390</v>
      </c>
      <c r="J100" s="19"/>
      <c r="K100" s="23"/>
    </row>
    <row r="101" spans="2:11" ht="13.5" customHeight="1">
      <c r="B101" s="20">
        <v>97</v>
      </c>
      <c r="C101" s="20"/>
      <c r="D101" s="20" t="s">
        <v>170</v>
      </c>
      <c r="E101" s="20" t="s">
        <v>73</v>
      </c>
      <c r="F101" s="22" t="s">
        <v>177</v>
      </c>
      <c r="G101" s="19" t="s">
        <v>117</v>
      </c>
      <c r="H101" s="20" t="s">
        <v>161</v>
      </c>
      <c r="I101" s="19" t="s">
        <v>390</v>
      </c>
      <c r="J101" s="19"/>
      <c r="K101" s="23"/>
    </row>
    <row r="102" spans="2:11" ht="13.5" customHeight="1">
      <c r="B102" s="20">
        <v>98</v>
      </c>
      <c r="C102" s="20"/>
      <c r="D102" s="20" t="s">
        <v>170</v>
      </c>
      <c r="E102" s="20" t="s">
        <v>77</v>
      </c>
      <c r="F102" s="22" t="s">
        <v>178</v>
      </c>
      <c r="G102" s="19" t="s">
        <v>117</v>
      </c>
      <c r="H102" s="20" t="s">
        <v>161</v>
      </c>
      <c r="I102" s="19" t="s">
        <v>390</v>
      </c>
      <c r="J102" s="19"/>
      <c r="K102" s="23"/>
    </row>
    <row r="103" spans="2:11" ht="13.5" customHeight="1">
      <c r="B103" s="20">
        <v>99</v>
      </c>
      <c r="C103" s="20"/>
      <c r="D103" s="20" t="s">
        <v>170</v>
      </c>
      <c r="E103" s="20" t="s">
        <v>77</v>
      </c>
      <c r="F103" s="22" t="s">
        <v>179</v>
      </c>
      <c r="G103" s="19" t="s">
        <v>117</v>
      </c>
      <c r="H103" s="20" t="s">
        <v>161</v>
      </c>
      <c r="I103" s="19" t="s">
        <v>390</v>
      </c>
      <c r="J103" s="19"/>
      <c r="K103" s="23"/>
    </row>
    <row r="104" spans="2:11" ht="13.5" customHeight="1">
      <c r="B104" s="20">
        <v>100</v>
      </c>
      <c r="C104" s="20"/>
      <c r="D104" s="20" t="s">
        <v>180</v>
      </c>
      <c r="E104" s="20" t="s">
        <v>67</v>
      </c>
      <c r="F104" s="22" t="s">
        <v>180</v>
      </c>
      <c r="G104" s="22" t="s">
        <v>63</v>
      </c>
      <c r="H104" s="20" t="s">
        <v>69</v>
      </c>
      <c r="I104" s="19" t="s">
        <v>65</v>
      </c>
      <c r="J104" s="19"/>
      <c r="K104" s="23"/>
    </row>
    <row r="105" spans="2:11" ht="13.5" customHeight="1">
      <c r="B105" s="20">
        <v>101</v>
      </c>
      <c r="C105" s="20"/>
      <c r="D105" s="20" t="s">
        <v>180</v>
      </c>
      <c r="E105" s="20" t="s">
        <v>73</v>
      </c>
      <c r="F105" s="22" t="s">
        <v>181</v>
      </c>
      <c r="G105" s="22" t="s">
        <v>63</v>
      </c>
      <c r="H105" s="20" t="s">
        <v>69</v>
      </c>
      <c r="I105" s="19" t="s">
        <v>65</v>
      </c>
      <c r="J105" s="19"/>
      <c r="K105" s="23"/>
    </row>
    <row r="106" spans="2:11" ht="13.5" customHeight="1">
      <c r="B106" s="20">
        <v>102</v>
      </c>
      <c r="C106" s="20"/>
      <c r="D106" s="20" t="s">
        <v>180</v>
      </c>
      <c r="E106" s="20" t="s">
        <v>73</v>
      </c>
      <c r="F106" s="22" t="s">
        <v>182</v>
      </c>
      <c r="G106" s="22" t="s">
        <v>63</v>
      </c>
      <c r="H106" s="20" t="s">
        <v>69</v>
      </c>
      <c r="I106" s="19" t="s">
        <v>65</v>
      </c>
      <c r="J106" s="19"/>
      <c r="K106" s="23"/>
    </row>
    <row r="107" spans="2:11" ht="13.5" customHeight="1">
      <c r="B107" s="20">
        <v>103</v>
      </c>
      <c r="C107" s="20"/>
      <c r="D107" s="20" t="s">
        <v>180</v>
      </c>
      <c r="E107" s="20" t="s">
        <v>77</v>
      </c>
      <c r="F107" s="19" t="s">
        <v>183</v>
      </c>
      <c r="G107" s="22" t="s">
        <v>63</v>
      </c>
      <c r="H107" s="20" t="s">
        <v>69</v>
      </c>
      <c r="I107" s="19" t="s">
        <v>65</v>
      </c>
      <c r="J107" s="19"/>
      <c r="K107" s="23"/>
    </row>
    <row r="108" spans="2:11" ht="13.5" customHeight="1">
      <c r="B108" s="20">
        <v>104</v>
      </c>
      <c r="C108" s="20"/>
      <c r="D108" s="20" t="s">
        <v>180</v>
      </c>
      <c r="E108" s="20" t="s">
        <v>77</v>
      </c>
      <c r="F108" s="22" t="s">
        <v>184</v>
      </c>
      <c r="G108" s="22" t="s">
        <v>63</v>
      </c>
      <c r="H108" s="20" t="s">
        <v>69</v>
      </c>
      <c r="I108" s="19" t="s">
        <v>65</v>
      </c>
      <c r="J108" s="19"/>
      <c r="K108" s="23"/>
    </row>
    <row r="109" spans="2:11" ht="13.5" customHeight="1">
      <c r="B109" s="20">
        <v>105</v>
      </c>
      <c r="C109" s="20"/>
      <c r="D109" s="20" t="s">
        <v>180</v>
      </c>
      <c r="E109" s="20" t="s">
        <v>77</v>
      </c>
      <c r="F109" s="22" t="s">
        <v>185</v>
      </c>
      <c r="G109" s="19" t="s">
        <v>165</v>
      </c>
      <c r="H109" s="20" t="s">
        <v>166</v>
      </c>
      <c r="I109" s="19" t="s">
        <v>65</v>
      </c>
      <c r="J109" s="19"/>
      <c r="K109" s="23"/>
    </row>
    <row r="110" spans="2:11" ht="13.5" customHeight="1">
      <c r="B110" s="20">
        <v>106</v>
      </c>
      <c r="C110" s="20"/>
      <c r="D110" s="20" t="s">
        <v>180</v>
      </c>
      <c r="E110" s="20" t="s">
        <v>77</v>
      </c>
      <c r="F110" s="22" t="s">
        <v>186</v>
      </c>
      <c r="G110" s="22" t="s">
        <v>63</v>
      </c>
      <c r="H110" s="20" t="s">
        <v>69</v>
      </c>
      <c r="I110" s="19" t="s">
        <v>65</v>
      </c>
      <c r="J110" s="19"/>
      <c r="K110" s="23"/>
    </row>
    <row r="111" spans="2:11" ht="13.5" customHeight="1">
      <c r="B111" s="20">
        <v>107</v>
      </c>
      <c r="C111" s="20"/>
      <c r="D111" s="20" t="s">
        <v>187</v>
      </c>
      <c r="E111" s="20" t="s">
        <v>67</v>
      </c>
      <c r="F111" s="22" t="s">
        <v>187</v>
      </c>
      <c r="G111" s="22" t="s">
        <v>63</v>
      </c>
      <c r="H111" s="20" t="s">
        <v>69</v>
      </c>
      <c r="I111" s="19" t="s">
        <v>65</v>
      </c>
      <c r="J111" s="19"/>
      <c r="K111" s="23"/>
    </row>
    <row r="112" spans="2:11" ht="13.5" customHeight="1">
      <c r="B112" s="20">
        <v>108</v>
      </c>
      <c r="C112" s="20"/>
      <c r="D112" s="20" t="s">
        <v>187</v>
      </c>
      <c r="E112" s="20" t="s">
        <v>73</v>
      </c>
      <c r="F112" s="22" t="s">
        <v>188</v>
      </c>
      <c r="G112" s="22" t="s">
        <v>63</v>
      </c>
      <c r="H112" s="20" t="s">
        <v>69</v>
      </c>
      <c r="I112" s="19" t="s">
        <v>65</v>
      </c>
      <c r="J112" s="19"/>
      <c r="K112" s="23"/>
    </row>
    <row r="113" spans="2:11" ht="13.5" customHeight="1">
      <c r="B113" s="20">
        <v>109</v>
      </c>
      <c r="C113" s="20"/>
      <c r="D113" s="20" t="s">
        <v>187</v>
      </c>
      <c r="E113" s="20" t="s">
        <v>73</v>
      </c>
      <c r="F113" s="22" t="s">
        <v>189</v>
      </c>
      <c r="G113" s="22" t="s">
        <v>63</v>
      </c>
      <c r="H113" s="20" t="s">
        <v>69</v>
      </c>
      <c r="I113" s="19" t="s">
        <v>65</v>
      </c>
      <c r="J113" s="19"/>
      <c r="K113" s="23"/>
    </row>
    <row r="114" spans="2:11" ht="13.5" customHeight="1">
      <c r="B114" s="20">
        <v>110</v>
      </c>
      <c r="C114" s="20"/>
      <c r="D114" s="20" t="s">
        <v>187</v>
      </c>
      <c r="E114" s="20" t="s">
        <v>77</v>
      </c>
      <c r="F114" s="22" t="s">
        <v>190</v>
      </c>
      <c r="G114" s="22" t="s">
        <v>63</v>
      </c>
      <c r="H114" s="20" t="s">
        <v>69</v>
      </c>
      <c r="I114" s="19" t="s">
        <v>65</v>
      </c>
      <c r="J114" s="19"/>
      <c r="K114" s="23"/>
    </row>
    <row r="115" spans="2:11" ht="13.5" customHeight="1">
      <c r="B115" s="20">
        <v>111</v>
      </c>
      <c r="C115" s="20"/>
      <c r="D115" s="20" t="s">
        <v>391</v>
      </c>
      <c r="E115" s="20" t="s">
        <v>67</v>
      </c>
      <c r="F115" s="22" t="s">
        <v>191</v>
      </c>
      <c r="G115" s="22" t="s">
        <v>63</v>
      </c>
      <c r="H115" s="20" t="s">
        <v>69</v>
      </c>
      <c r="I115" s="19" t="s">
        <v>65</v>
      </c>
      <c r="J115" s="19" t="s">
        <v>192</v>
      </c>
      <c r="K115" s="23"/>
    </row>
    <row r="116" spans="2:11" ht="13.5" customHeight="1">
      <c r="B116" s="20">
        <v>112</v>
      </c>
      <c r="C116" s="20"/>
      <c r="D116" s="20" t="s">
        <v>391</v>
      </c>
      <c r="E116" s="20" t="s">
        <v>67</v>
      </c>
      <c r="F116" s="22" t="s">
        <v>193</v>
      </c>
      <c r="G116" s="22" t="s">
        <v>63</v>
      </c>
      <c r="H116" s="20" t="s">
        <v>69</v>
      </c>
      <c r="I116" s="19" t="s">
        <v>65</v>
      </c>
      <c r="J116" s="19" t="s">
        <v>192</v>
      </c>
      <c r="K116" s="23"/>
    </row>
    <row r="117" spans="2:11" ht="13.5" customHeight="1">
      <c r="B117" s="20">
        <v>113</v>
      </c>
      <c r="C117" s="20"/>
      <c r="D117" s="20" t="s">
        <v>391</v>
      </c>
      <c r="E117" s="20" t="s">
        <v>67</v>
      </c>
      <c r="F117" s="22" t="s">
        <v>194</v>
      </c>
      <c r="G117" s="22" t="s">
        <v>63</v>
      </c>
      <c r="H117" s="20" t="s">
        <v>69</v>
      </c>
      <c r="I117" s="19" t="s">
        <v>65</v>
      </c>
      <c r="J117" s="19" t="s">
        <v>192</v>
      </c>
      <c r="K117" s="23"/>
    </row>
    <row r="118" spans="2:11" ht="13.5" customHeight="1">
      <c r="B118" s="20">
        <v>114</v>
      </c>
      <c r="C118" s="20"/>
      <c r="D118" s="20" t="s">
        <v>391</v>
      </c>
      <c r="E118" s="20" t="s">
        <v>67</v>
      </c>
      <c r="F118" s="22" t="s">
        <v>195</v>
      </c>
      <c r="G118" s="22" t="s">
        <v>63</v>
      </c>
      <c r="H118" s="20" t="s">
        <v>69</v>
      </c>
      <c r="I118" s="19" t="s">
        <v>65</v>
      </c>
      <c r="J118" s="19" t="s">
        <v>192</v>
      </c>
      <c r="K118" s="23"/>
    </row>
    <row r="119" spans="2:11" ht="13.5" customHeight="1">
      <c r="B119" s="20">
        <v>115</v>
      </c>
      <c r="C119" s="20"/>
      <c r="D119" s="20" t="s">
        <v>391</v>
      </c>
      <c r="E119" s="20" t="s">
        <v>67</v>
      </c>
      <c r="F119" s="22" t="s">
        <v>196</v>
      </c>
      <c r="G119" s="22" t="s">
        <v>63</v>
      </c>
      <c r="H119" s="20" t="s">
        <v>69</v>
      </c>
      <c r="I119" s="19" t="s">
        <v>65</v>
      </c>
      <c r="J119" s="19" t="s">
        <v>192</v>
      </c>
      <c r="K119" s="23"/>
    </row>
    <row r="120" spans="2:11" ht="13.5" customHeight="1">
      <c r="B120" s="20">
        <v>116</v>
      </c>
      <c r="C120" s="20"/>
      <c r="D120" s="20" t="s">
        <v>391</v>
      </c>
      <c r="E120" s="20" t="s">
        <v>67</v>
      </c>
      <c r="F120" s="22" t="s">
        <v>197</v>
      </c>
      <c r="G120" s="22" t="s">
        <v>63</v>
      </c>
      <c r="H120" s="20" t="s">
        <v>69</v>
      </c>
      <c r="I120" s="19" t="s">
        <v>65</v>
      </c>
      <c r="J120" s="19" t="s">
        <v>192</v>
      </c>
      <c r="K120" s="23"/>
    </row>
    <row r="121" spans="2:11" ht="13.5" customHeight="1">
      <c r="B121" s="20">
        <v>117</v>
      </c>
      <c r="C121" s="20"/>
      <c r="D121" s="20" t="s">
        <v>391</v>
      </c>
      <c r="E121" s="20" t="s">
        <v>67</v>
      </c>
      <c r="F121" s="22" t="s">
        <v>198</v>
      </c>
      <c r="G121" s="22" t="s">
        <v>63</v>
      </c>
      <c r="H121" s="20" t="s">
        <v>69</v>
      </c>
      <c r="I121" s="19" t="s">
        <v>65</v>
      </c>
      <c r="J121" s="19" t="s">
        <v>192</v>
      </c>
      <c r="K121" s="23"/>
    </row>
    <row r="122" spans="2:11" ht="13.5" customHeight="1">
      <c r="B122" s="20">
        <v>118</v>
      </c>
      <c r="C122" s="20"/>
      <c r="D122" s="20" t="s">
        <v>391</v>
      </c>
      <c r="E122" s="20" t="s">
        <v>67</v>
      </c>
      <c r="F122" s="22" t="s">
        <v>199</v>
      </c>
      <c r="G122" s="22" t="s">
        <v>63</v>
      </c>
      <c r="H122" s="20" t="s">
        <v>69</v>
      </c>
      <c r="I122" s="19" t="s">
        <v>65</v>
      </c>
      <c r="J122" s="19" t="s">
        <v>192</v>
      </c>
      <c r="K122" s="23"/>
    </row>
    <row r="123" spans="2:11" ht="13.5" customHeight="1">
      <c r="B123" s="20">
        <v>119</v>
      </c>
      <c r="C123" s="20"/>
      <c r="D123" s="20" t="s">
        <v>391</v>
      </c>
      <c r="E123" s="20" t="s">
        <v>73</v>
      </c>
      <c r="F123" s="22" t="s">
        <v>200</v>
      </c>
      <c r="G123" s="22" t="s">
        <v>63</v>
      </c>
      <c r="H123" s="20" t="s">
        <v>69</v>
      </c>
      <c r="I123" s="19" t="s">
        <v>65</v>
      </c>
      <c r="J123" s="19"/>
      <c r="K123" s="23"/>
    </row>
    <row r="124" spans="2:11" ht="13.5" customHeight="1">
      <c r="B124" s="20">
        <v>120</v>
      </c>
      <c r="C124" s="20"/>
      <c r="D124" s="20" t="s">
        <v>391</v>
      </c>
      <c r="E124" s="20" t="s">
        <v>73</v>
      </c>
      <c r="F124" s="22" t="s">
        <v>201</v>
      </c>
      <c r="G124" s="22" t="s">
        <v>63</v>
      </c>
      <c r="H124" s="20" t="s">
        <v>69</v>
      </c>
      <c r="I124" s="19" t="s">
        <v>65</v>
      </c>
      <c r="J124" s="19"/>
      <c r="K124" s="23"/>
    </row>
    <row r="125" spans="2:11" ht="13.5" customHeight="1">
      <c r="B125" s="20">
        <v>121</v>
      </c>
      <c r="C125" s="20"/>
      <c r="D125" s="20" t="s">
        <v>391</v>
      </c>
      <c r="E125" s="20" t="s">
        <v>73</v>
      </c>
      <c r="F125" s="22" t="s">
        <v>202</v>
      </c>
      <c r="G125" s="22" t="s">
        <v>63</v>
      </c>
      <c r="H125" s="20" t="s">
        <v>69</v>
      </c>
      <c r="I125" s="19" t="s">
        <v>65</v>
      </c>
      <c r="J125" s="19"/>
      <c r="K125" s="23"/>
    </row>
    <row r="126" spans="2:11" ht="13.5" customHeight="1">
      <c r="B126" s="20">
        <v>122</v>
      </c>
      <c r="C126" s="20"/>
      <c r="D126" s="20" t="s">
        <v>391</v>
      </c>
      <c r="E126" s="20" t="s">
        <v>73</v>
      </c>
      <c r="F126" s="22" t="s">
        <v>203</v>
      </c>
      <c r="G126" s="22" t="s">
        <v>63</v>
      </c>
      <c r="H126" s="20" t="s">
        <v>69</v>
      </c>
      <c r="I126" s="19" t="s">
        <v>65</v>
      </c>
      <c r="J126" s="19"/>
      <c r="K126" s="23"/>
    </row>
    <row r="127" spans="2:11" ht="13.5" customHeight="1">
      <c r="B127" s="20">
        <v>123</v>
      </c>
      <c r="C127" s="20"/>
      <c r="D127" s="20" t="s">
        <v>391</v>
      </c>
      <c r="E127" s="20" t="s">
        <v>73</v>
      </c>
      <c r="F127" s="22" t="s">
        <v>204</v>
      </c>
      <c r="G127" s="22" t="s">
        <v>63</v>
      </c>
      <c r="H127" s="20" t="s">
        <v>69</v>
      </c>
      <c r="I127" s="19" t="s">
        <v>65</v>
      </c>
      <c r="J127" s="19"/>
      <c r="K127" s="23"/>
    </row>
    <row r="128" spans="2:11" ht="13.5" customHeight="1">
      <c r="B128" s="20">
        <v>124</v>
      </c>
      <c r="C128" s="20"/>
      <c r="D128" s="20" t="s">
        <v>391</v>
      </c>
      <c r="E128" s="20" t="s">
        <v>73</v>
      </c>
      <c r="F128" s="22" t="s">
        <v>205</v>
      </c>
      <c r="G128" s="22" t="s">
        <v>63</v>
      </c>
      <c r="H128" s="20" t="s">
        <v>69</v>
      </c>
      <c r="I128" s="19" t="s">
        <v>65</v>
      </c>
      <c r="J128" s="19"/>
      <c r="K128" s="23"/>
    </row>
    <row r="129" spans="2:11" ht="13.5" customHeight="1">
      <c r="B129" s="20">
        <v>125</v>
      </c>
      <c r="C129" s="20"/>
      <c r="D129" s="20" t="s">
        <v>391</v>
      </c>
      <c r="E129" s="20" t="s">
        <v>73</v>
      </c>
      <c r="F129" s="22" t="s">
        <v>206</v>
      </c>
      <c r="G129" s="22" t="s">
        <v>63</v>
      </c>
      <c r="H129" s="20" t="s">
        <v>69</v>
      </c>
      <c r="I129" s="19" t="s">
        <v>65</v>
      </c>
      <c r="J129" s="19"/>
      <c r="K129" s="23"/>
    </row>
    <row r="130" spans="2:11" ht="13.5" customHeight="1">
      <c r="B130" s="20">
        <v>126</v>
      </c>
      <c r="C130" s="20"/>
      <c r="D130" s="20" t="s">
        <v>391</v>
      </c>
      <c r="E130" s="20" t="s">
        <v>73</v>
      </c>
      <c r="F130" s="22" t="s">
        <v>207</v>
      </c>
      <c r="G130" s="22" t="s">
        <v>63</v>
      </c>
      <c r="H130" s="20" t="s">
        <v>69</v>
      </c>
      <c r="I130" s="19" t="s">
        <v>65</v>
      </c>
      <c r="J130" s="19"/>
      <c r="K130" s="23"/>
    </row>
    <row r="131" spans="2:11" ht="13.5" customHeight="1">
      <c r="B131" s="20">
        <v>127</v>
      </c>
      <c r="C131" s="20"/>
      <c r="D131" s="20" t="s">
        <v>391</v>
      </c>
      <c r="E131" s="20" t="s">
        <v>73</v>
      </c>
      <c r="F131" s="22" t="s">
        <v>208</v>
      </c>
      <c r="G131" s="22" t="s">
        <v>63</v>
      </c>
      <c r="H131" s="20" t="s">
        <v>69</v>
      </c>
      <c r="I131" s="19" t="s">
        <v>65</v>
      </c>
      <c r="J131" s="19"/>
      <c r="K131" s="23" t="s">
        <v>393</v>
      </c>
    </row>
    <row r="132" spans="2:11" ht="13.5" customHeight="1">
      <c r="B132" s="20">
        <v>128</v>
      </c>
      <c r="C132" s="20"/>
      <c r="D132" s="20" t="s">
        <v>391</v>
      </c>
      <c r="E132" s="20" t="s">
        <v>73</v>
      </c>
      <c r="F132" s="22" t="s">
        <v>209</v>
      </c>
      <c r="G132" s="22" t="s">
        <v>63</v>
      </c>
      <c r="H132" s="20" t="s">
        <v>69</v>
      </c>
      <c r="I132" s="19" t="s">
        <v>65</v>
      </c>
      <c r="J132" s="19"/>
      <c r="K132" s="23" t="s">
        <v>392</v>
      </c>
    </row>
    <row r="133" spans="2:11" ht="13.5" customHeight="1">
      <c r="B133" s="20">
        <v>129</v>
      </c>
      <c r="C133" s="20"/>
      <c r="D133" s="20" t="s">
        <v>391</v>
      </c>
      <c r="E133" s="20" t="s">
        <v>73</v>
      </c>
      <c r="F133" s="22" t="s">
        <v>210</v>
      </c>
      <c r="G133" s="22" t="s">
        <v>63</v>
      </c>
      <c r="H133" s="20" t="s">
        <v>69</v>
      </c>
      <c r="I133" s="19" t="s">
        <v>65</v>
      </c>
      <c r="J133" s="19"/>
      <c r="K133" s="23" t="s">
        <v>392</v>
      </c>
    </row>
    <row r="134" spans="2:11" ht="13.5" customHeight="1">
      <c r="B134" s="20">
        <v>130</v>
      </c>
      <c r="C134" s="20"/>
      <c r="D134" s="20" t="s">
        <v>391</v>
      </c>
      <c r="E134" s="20" t="s">
        <v>73</v>
      </c>
      <c r="F134" s="22" t="s">
        <v>211</v>
      </c>
      <c r="G134" s="22" t="s">
        <v>63</v>
      </c>
      <c r="H134" s="20" t="s">
        <v>69</v>
      </c>
      <c r="I134" s="19" t="s">
        <v>65</v>
      </c>
      <c r="J134" s="19"/>
      <c r="K134" s="23" t="s">
        <v>392</v>
      </c>
    </row>
    <row r="135" spans="2:11" ht="13.5" customHeight="1">
      <c r="B135" s="20">
        <v>131</v>
      </c>
      <c r="C135" s="20"/>
      <c r="D135" s="20" t="s">
        <v>391</v>
      </c>
      <c r="E135" s="20" t="s">
        <v>73</v>
      </c>
      <c r="F135" s="22" t="s">
        <v>212</v>
      </c>
      <c r="G135" s="22" t="s">
        <v>63</v>
      </c>
      <c r="H135" s="20" t="s">
        <v>69</v>
      </c>
      <c r="I135" s="19" t="s">
        <v>65</v>
      </c>
      <c r="J135" s="19"/>
      <c r="K135" s="23" t="s">
        <v>392</v>
      </c>
    </row>
    <row r="136" spans="2:11" ht="13.5" customHeight="1">
      <c r="B136" s="20">
        <v>132</v>
      </c>
      <c r="C136" s="20"/>
      <c r="D136" s="20" t="s">
        <v>391</v>
      </c>
      <c r="E136" s="20" t="s">
        <v>73</v>
      </c>
      <c r="F136" s="22" t="s">
        <v>213</v>
      </c>
      <c r="G136" s="22" t="s">
        <v>63</v>
      </c>
      <c r="H136" s="20" t="s">
        <v>69</v>
      </c>
      <c r="I136" s="19" t="s">
        <v>65</v>
      </c>
      <c r="J136" s="19"/>
      <c r="K136" s="23" t="s">
        <v>392</v>
      </c>
    </row>
    <row r="137" spans="2:11" ht="13.5" customHeight="1">
      <c r="B137" s="20">
        <v>133</v>
      </c>
      <c r="C137" s="20"/>
      <c r="D137" s="20" t="s">
        <v>391</v>
      </c>
      <c r="E137" s="20" t="s">
        <v>73</v>
      </c>
      <c r="F137" s="22" t="s">
        <v>214</v>
      </c>
      <c r="G137" s="22" t="s">
        <v>63</v>
      </c>
      <c r="H137" s="20" t="s">
        <v>69</v>
      </c>
      <c r="I137" s="19" t="s">
        <v>65</v>
      </c>
      <c r="J137" s="19"/>
      <c r="K137" s="23" t="s">
        <v>392</v>
      </c>
    </row>
    <row r="138" spans="2:11" ht="13.5" customHeight="1">
      <c r="B138" s="20">
        <v>134</v>
      </c>
      <c r="C138" s="20"/>
      <c r="D138" s="20" t="s">
        <v>391</v>
      </c>
      <c r="E138" s="20" t="s">
        <v>73</v>
      </c>
      <c r="F138" s="22" t="s">
        <v>215</v>
      </c>
      <c r="G138" s="22" t="s">
        <v>63</v>
      </c>
      <c r="H138" s="20" t="s">
        <v>69</v>
      </c>
      <c r="I138" s="19" t="s">
        <v>65</v>
      </c>
      <c r="J138" s="19"/>
      <c r="K138" s="23" t="s">
        <v>392</v>
      </c>
    </row>
    <row r="139" spans="2:11" ht="13.5" customHeight="1">
      <c r="B139" s="20">
        <v>135</v>
      </c>
      <c r="C139" s="20"/>
      <c r="D139" s="20" t="s">
        <v>391</v>
      </c>
      <c r="E139" s="20" t="s">
        <v>77</v>
      </c>
      <c r="F139" s="22" t="s">
        <v>216</v>
      </c>
      <c r="G139" s="22" t="s">
        <v>63</v>
      </c>
      <c r="H139" s="20" t="s">
        <v>69</v>
      </c>
      <c r="I139" s="19" t="s">
        <v>65</v>
      </c>
      <c r="J139" s="19"/>
      <c r="K139" s="23" t="s">
        <v>393</v>
      </c>
    </row>
    <row r="140" spans="2:11" ht="13.5" customHeight="1">
      <c r="B140" s="20">
        <v>136</v>
      </c>
      <c r="C140" s="20"/>
      <c r="D140" s="20" t="s">
        <v>391</v>
      </c>
      <c r="E140" s="20" t="s">
        <v>77</v>
      </c>
      <c r="F140" s="22" t="s">
        <v>217</v>
      </c>
      <c r="G140" s="22" t="s">
        <v>63</v>
      </c>
      <c r="H140" s="20" t="s">
        <v>69</v>
      </c>
      <c r="I140" s="19" t="s">
        <v>65</v>
      </c>
      <c r="J140" s="19"/>
      <c r="K140" s="23" t="s">
        <v>393</v>
      </c>
    </row>
    <row r="141" spans="2:11" ht="13.5" customHeight="1">
      <c r="B141" s="20">
        <v>137</v>
      </c>
      <c r="C141" s="20"/>
      <c r="D141" s="20" t="s">
        <v>391</v>
      </c>
      <c r="E141" s="20" t="s">
        <v>77</v>
      </c>
      <c r="F141" s="22" t="s">
        <v>218</v>
      </c>
      <c r="G141" s="22" t="s">
        <v>63</v>
      </c>
      <c r="H141" s="20" t="s">
        <v>69</v>
      </c>
      <c r="I141" s="19" t="s">
        <v>65</v>
      </c>
      <c r="J141" s="19"/>
      <c r="K141" s="23" t="s">
        <v>393</v>
      </c>
    </row>
    <row r="142" spans="2:11" ht="13.5" customHeight="1">
      <c r="B142" s="20">
        <v>138</v>
      </c>
      <c r="C142" s="20"/>
      <c r="D142" s="20" t="s">
        <v>391</v>
      </c>
      <c r="E142" s="20" t="s">
        <v>77</v>
      </c>
      <c r="F142" s="22" t="s">
        <v>219</v>
      </c>
      <c r="G142" s="22" t="s">
        <v>63</v>
      </c>
      <c r="H142" s="20" t="s">
        <v>69</v>
      </c>
      <c r="I142" s="19" t="s">
        <v>65</v>
      </c>
      <c r="J142" s="19"/>
      <c r="K142" s="23" t="s">
        <v>393</v>
      </c>
    </row>
    <row r="143" spans="2:11" ht="13.5" customHeight="1">
      <c r="B143" s="20">
        <v>139</v>
      </c>
      <c r="C143" s="20"/>
      <c r="D143" s="20" t="s">
        <v>391</v>
      </c>
      <c r="E143" s="20" t="s">
        <v>77</v>
      </c>
      <c r="F143" s="22" t="s">
        <v>220</v>
      </c>
      <c r="G143" s="22" t="s">
        <v>63</v>
      </c>
      <c r="H143" s="20" t="s">
        <v>69</v>
      </c>
      <c r="I143" s="19" t="s">
        <v>65</v>
      </c>
      <c r="J143" s="19"/>
      <c r="K143" s="23" t="s">
        <v>393</v>
      </c>
    </row>
    <row r="144" spans="2:11" ht="13.5" customHeight="1">
      <c r="B144" s="20">
        <v>140</v>
      </c>
      <c r="C144" s="20"/>
      <c r="D144" s="20" t="s">
        <v>391</v>
      </c>
      <c r="E144" s="20" t="s">
        <v>77</v>
      </c>
      <c r="F144" s="22" t="s">
        <v>221</v>
      </c>
      <c r="G144" s="22" t="s">
        <v>63</v>
      </c>
      <c r="H144" s="20" t="s">
        <v>69</v>
      </c>
      <c r="I144" s="19" t="s">
        <v>65</v>
      </c>
      <c r="J144" s="19"/>
      <c r="K144" s="23" t="s">
        <v>393</v>
      </c>
    </row>
    <row r="145" spans="2:11" ht="13.5" customHeight="1">
      <c r="B145" s="20">
        <v>141</v>
      </c>
      <c r="C145" s="20"/>
      <c r="D145" s="20" t="s">
        <v>391</v>
      </c>
      <c r="E145" s="20" t="s">
        <v>77</v>
      </c>
      <c r="F145" s="22" t="s">
        <v>222</v>
      </c>
      <c r="G145" s="22" t="s">
        <v>63</v>
      </c>
      <c r="H145" s="20" t="s">
        <v>69</v>
      </c>
      <c r="I145" s="19" t="s">
        <v>65</v>
      </c>
      <c r="J145" s="19"/>
      <c r="K145" s="23" t="s">
        <v>393</v>
      </c>
    </row>
    <row r="146" spans="2:11" ht="13.5" customHeight="1">
      <c r="B146" s="20">
        <v>142</v>
      </c>
      <c r="C146" s="20"/>
      <c r="D146" s="20" t="s">
        <v>391</v>
      </c>
      <c r="E146" s="20" t="s">
        <v>77</v>
      </c>
      <c r="F146" s="22" t="s">
        <v>223</v>
      </c>
      <c r="G146" s="22" t="s">
        <v>63</v>
      </c>
      <c r="H146" s="20" t="s">
        <v>69</v>
      </c>
      <c r="I146" s="19" t="s">
        <v>65</v>
      </c>
      <c r="J146" s="19"/>
      <c r="K146" s="23" t="s">
        <v>393</v>
      </c>
    </row>
    <row r="147" spans="2:11" ht="13.5" customHeight="1">
      <c r="B147" s="20">
        <v>143</v>
      </c>
      <c r="C147" s="20"/>
      <c r="D147" s="20" t="s">
        <v>224</v>
      </c>
      <c r="E147" s="20" t="s">
        <v>67</v>
      </c>
      <c r="F147" s="22" t="s">
        <v>224</v>
      </c>
      <c r="G147" s="22" t="s">
        <v>63</v>
      </c>
      <c r="H147" s="20" t="s">
        <v>69</v>
      </c>
      <c r="I147" s="19" t="s">
        <v>65</v>
      </c>
      <c r="J147" s="19" t="s">
        <v>192</v>
      </c>
      <c r="K147" s="23"/>
    </row>
    <row r="148" spans="2:11" ht="13.5" customHeight="1">
      <c r="B148" s="20">
        <v>144</v>
      </c>
      <c r="C148" s="20"/>
      <c r="D148" s="20" t="s">
        <v>224</v>
      </c>
      <c r="E148" s="20" t="s">
        <v>73</v>
      </c>
      <c r="F148" s="22" t="s">
        <v>225</v>
      </c>
      <c r="G148" s="22" t="s">
        <v>63</v>
      </c>
      <c r="H148" s="20" t="s">
        <v>69</v>
      </c>
      <c r="I148" s="19" t="s">
        <v>65</v>
      </c>
      <c r="J148" s="19"/>
      <c r="K148" s="23"/>
    </row>
    <row r="149" spans="2:11" ht="13.5" customHeight="1">
      <c r="B149" s="20">
        <v>145</v>
      </c>
      <c r="C149" s="20"/>
      <c r="D149" s="20" t="s">
        <v>224</v>
      </c>
      <c r="E149" s="20" t="s">
        <v>77</v>
      </c>
      <c r="F149" s="22" t="s">
        <v>226</v>
      </c>
      <c r="G149" s="22" t="s">
        <v>63</v>
      </c>
      <c r="H149" s="20" t="s">
        <v>69</v>
      </c>
      <c r="I149" s="19" t="s">
        <v>65</v>
      </c>
      <c r="J149" s="19"/>
      <c r="K149" s="23"/>
    </row>
    <row r="150" spans="2:11" ht="13.5" customHeight="1">
      <c r="B150" s="20">
        <v>146</v>
      </c>
      <c r="C150" s="20"/>
      <c r="D150" s="20" t="s">
        <v>227</v>
      </c>
      <c r="E150" s="20" t="s">
        <v>67</v>
      </c>
      <c r="F150" s="22" t="s">
        <v>228</v>
      </c>
      <c r="G150" s="22" t="s">
        <v>117</v>
      </c>
      <c r="H150" s="20" t="s">
        <v>161</v>
      </c>
      <c r="I150" s="19" t="s">
        <v>229</v>
      </c>
      <c r="J150" s="19"/>
      <c r="K150" s="23"/>
    </row>
    <row r="151" spans="2:11" ht="13.5" customHeight="1">
      <c r="B151" s="20">
        <v>147</v>
      </c>
      <c r="C151" s="20"/>
      <c r="D151" s="20" t="s">
        <v>227</v>
      </c>
      <c r="E151" s="20" t="s">
        <v>67</v>
      </c>
      <c r="F151" s="22" t="s">
        <v>230</v>
      </c>
      <c r="G151" s="22" t="s">
        <v>117</v>
      </c>
      <c r="H151" s="20" t="s">
        <v>161</v>
      </c>
      <c r="I151" s="19" t="s">
        <v>229</v>
      </c>
      <c r="J151" s="19"/>
      <c r="K151" s="23"/>
    </row>
    <row r="152" spans="2:11" ht="13.5" customHeight="1">
      <c r="B152" s="20">
        <v>148</v>
      </c>
      <c r="C152" s="20"/>
      <c r="D152" s="20" t="s">
        <v>227</v>
      </c>
      <c r="E152" s="20" t="s">
        <v>73</v>
      </c>
      <c r="F152" s="22" t="s">
        <v>231</v>
      </c>
      <c r="G152" s="22" t="s">
        <v>117</v>
      </c>
      <c r="H152" s="20" t="s">
        <v>161</v>
      </c>
      <c r="I152" s="19" t="s">
        <v>229</v>
      </c>
      <c r="J152" s="19"/>
      <c r="K152" s="23"/>
    </row>
    <row r="153" spans="2:11" ht="13.5" customHeight="1">
      <c r="B153" s="20">
        <v>149</v>
      </c>
      <c r="C153" s="20"/>
      <c r="D153" s="20" t="s">
        <v>227</v>
      </c>
      <c r="E153" s="20" t="s">
        <v>73</v>
      </c>
      <c r="F153" s="22" t="s">
        <v>232</v>
      </c>
      <c r="G153" s="22" t="s">
        <v>117</v>
      </c>
      <c r="H153" s="20" t="s">
        <v>161</v>
      </c>
      <c r="I153" s="19" t="s">
        <v>229</v>
      </c>
      <c r="J153" s="19"/>
      <c r="K153" s="23"/>
    </row>
    <row r="154" spans="2:11" ht="13.5" customHeight="1">
      <c r="B154" s="20">
        <v>150</v>
      </c>
      <c r="C154" s="20"/>
      <c r="D154" s="20" t="s">
        <v>227</v>
      </c>
      <c r="E154" s="20" t="s">
        <v>73</v>
      </c>
      <c r="F154" s="22" t="s">
        <v>233</v>
      </c>
      <c r="G154" s="22" t="s">
        <v>117</v>
      </c>
      <c r="H154" s="20" t="s">
        <v>161</v>
      </c>
      <c r="I154" s="19" t="s">
        <v>229</v>
      </c>
      <c r="J154" s="19"/>
      <c r="K154" s="23"/>
    </row>
    <row r="155" spans="2:11" ht="13.5" customHeight="1">
      <c r="B155" s="20">
        <v>151</v>
      </c>
      <c r="C155" s="20"/>
      <c r="D155" s="20" t="s">
        <v>227</v>
      </c>
      <c r="E155" s="20" t="s">
        <v>73</v>
      </c>
      <c r="F155" s="22" t="s">
        <v>234</v>
      </c>
      <c r="G155" s="22" t="s">
        <v>117</v>
      </c>
      <c r="H155" s="20" t="s">
        <v>161</v>
      </c>
      <c r="I155" s="19" t="s">
        <v>229</v>
      </c>
      <c r="J155" s="19"/>
      <c r="K155" s="23"/>
    </row>
    <row r="156" spans="2:11" ht="13.5" customHeight="1">
      <c r="B156" s="20">
        <v>152</v>
      </c>
      <c r="C156" s="20"/>
      <c r="D156" s="20" t="s">
        <v>227</v>
      </c>
      <c r="E156" s="20" t="s">
        <v>73</v>
      </c>
      <c r="F156" s="22" t="s">
        <v>235</v>
      </c>
      <c r="G156" s="22" t="s">
        <v>117</v>
      </c>
      <c r="H156" s="20" t="s">
        <v>161</v>
      </c>
      <c r="I156" s="19" t="s">
        <v>229</v>
      </c>
      <c r="J156" s="19"/>
      <c r="K156" s="23"/>
    </row>
    <row r="157" spans="2:11" ht="13.5" customHeight="1">
      <c r="B157" s="20">
        <v>153</v>
      </c>
      <c r="C157" s="20"/>
      <c r="D157" s="20" t="s">
        <v>227</v>
      </c>
      <c r="E157" s="20" t="s">
        <v>73</v>
      </c>
      <c r="F157" s="22" t="s">
        <v>236</v>
      </c>
      <c r="G157" s="22" t="s">
        <v>117</v>
      </c>
      <c r="H157" s="20" t="s">
        <v>161</v>
      </c>
      <c r="I157" s="19" t="s">
        <v>229</v>
      </c>
      <c r="J157" s="19"/>
      <c r="K157" s="23"/>
    </row>
    <row r="158" spans="2:11" ht="13.5" customHeight="1">
      <c r="B158" s="20">
        <v>154</v>
      </c>
      <c r="C158" s="20"/>
      <c r="D158" s="20" t="s">
        <v>227</v>
      </c>
      <c r="E158" s="20" t="s">
        <v>77</v>
      </c>
      <c r="F158" s="22" t="s">
        <v>237</v>
      </c>
      <c r="G158" s="22" t="s">
        <v>117</v>
      </c>
      <c r="H158" s="20" t="s">
        <v>161</v>
      </c>
      <c r="I158" s="19" t="s">
        <v>229</v>
      </c>
      <c r="J158" s="19"/>
      <c r="K158" s="23"/>
    </row>
    <row r="159" spans="2:11" ht="13.5" customHeight="1">
      <c r="B159" s="20">
        <v>155</v>
      </c>
      <c r="C159" s="20"/>
      <c r="D159" s="20" t="s">
        <v>227</v>
      </c>
      <c r="E159" s="20" t="s">
        <v>77</v>
      </c>
      <c r="F159" s="22" t="s">
        <v>238</v>
      </c>
      <c r="G159" s="22" t="s">
        <v>117</v>
      </c>
      <c r="H159" s="20" t="s">
        <v>161</v>
      </c>
      <c r="I159" s="19" t="s">
        <v>229</v>
      </c>
      <c r="J159" s="19"/>
      <c r="K159" s="23"/>
    </row>
    <row r="160" spans="2:11" ht="13.5" customHeight="1">
      <c r="B160" s="20">
        <v>156</v>
      </c>
      <c r="C160" s="20" t="s">
        <v>239</v>
      </c>
      <c r="D160" s="20" t="s">
        <v>81</v>
      </c>
      <c r="E160" s="20" t="s">
        <v>73</v>
      </c>
      <c r="F160" s="22" t="s">
        <v>240</v>
      </c>
      <c r="G160" s="22" t="s">
        <v>63</v>
      </c>
      <c r="H160" s="20" t="s">
        <v>69</v>
      </c>
      <c r="I160" s="19" t="s">
        <v>65</v>
      </c>
      <c r="J160" s="19"/>
      <c r="K160" s="21" t="s">
        <v>395</v>
      </c>
    </row>
    <row r="161" spans="2:11" ht="13.5" customHeight="1">
      <c r="B161" s="20">
        <v>157</v>
      </c>
      <c r="C161" s="20" t="s">
        <v>239</v>
      </c>
      <c r="D161" s="20" t="s">
        <v>81</v>
      </c>
      <c r="E161" s="20" t="s">
        <v>73</v>
      </c>
      <c r="F161" s="22" t="s">
        <v>241</v>
      </c>
      <c r="G161" s="22" t="s">
        <v>63</v>
      </c>
      <c r="H161" s="20" t="s">
        <v>69</v>
      </c>
      <c r="I161" s="19" t="s">
        <v>65</v>
      </c>
      <c r="J161" s="19"/>
      <c r="K161" s="21" t="s">
        <v>395</v>
      </c>
    </row>
    <row r="162" spans="2:11" ht="13.5" customHeight="1">
      <c r="B162" s="20">
        <v>158</v>
      </c>
      <c r="C162" s="20" t="s">
        <v>239</v>
      </c>
      <c r="D162" s="20" t="s">
        <v>81</v>
      </c>
      <c r="E162" s="20" t="s">
        <v>73</v>
      </c>
      <c r="F162" s="22" t="s">
        <v>242</v>
      </c>
      <c r="G162" s="22" t="s">
        <v>63</v>
      </c>
      <c r="H162" s="20" t="s">
        <v>69</v>
      </c>
      <c r="I162" s="19" t="s">
        <v>65</v>
      </c>
      <c r="J162" s="19"/>
      <c r="K162" s="21" t="s">
        <v>395</v>
      </c>
    </row>
    <row r="163" spans="2:11" ht="13.5" customHeight="1">
      <c r="B163" s="20">
        <v>159</v>
      </c>
      <c r="C163" s="20" t="s">
        <v>239</v>
      </c>
      <c r="D163" s="20" t="s">
        <v>81</v>
      </c>
      <c r="E163" s="20" t="s">
        <v>73</v>
      </c>
      <c r="F163" s="22" t="s">
        <v>243</v>
      </c>
      <c r="G163" s="22" t="s">
        <v>63</v>
      </c>
      <c r="H163" s="20" t="s">
        <v>69</v>
      </c>
      <c r="I163" s="19" t="s">
        <v>65</v>
      </c>
      <c r="J163" s="19"/>
      <c r="K163" s="21" t="s">
        <v>395</v>
      </c>
    </row>
    <row r="164" spans="2:11" ht="13.5" customHeight="1">
      <c r="B164" s="20">
        <v>160</v>
      </c>
      <c r="C164" s="20" t="s">
        <v>239</v>
      </c>
      <c r="D164" s="20" t="s">
        <v>81</v>
      </c>
      <c r="E164" s="20" t="s">
        <v>73</v>
      </c>
      <c r="F164" s="22" t="s">
        <v>244</v>
      </c>
      <c r="G164" s="22" t="s">
        <v>63</v>
      </c>
      <c r="H164" s="20" t="s">
        <v>69</v>
      </c>
      <c r="I164" s="19" t="s">
        <v>65</v>
      </c>
      <c r="J164" s="19"/>
      <c r="K164" s="21" t="s">
        <v>395</v>
      </c>
    </row>
    <row r="165" spans="2:11" ht="13.5" customHeight="1">
      <c r="B165" s="20">
        <v>161</v>
      </c>
      <c r="C165" s="20" t="s">
        <v>239</v>
      </c>
      <c r="D165" s="20" t="s">
        <v>140</v>
      </c>
      <c r="E165" s="20" t="s">
        <v>73</v>
      </c>
      <c r="F165" s="22" t="s">
        <v>245</v>
      </c>
      <c r="G165" s="22" t="s">
        <v>63</v>
      </c>
      <c r="H165" s="20" t="s">
        <v>69</v>
      </c>
      <c r="I165" s="19" t="s">
        <v>65</v>
      </c>
      <c r="J165" s="19"/>
      <c r="K165" s="21" t="s">
        <v>395</v>
      </c>
    </row>
    <row r="166" spans="2:11" ht="13.5" customHeight="1">
      <c r="B166" s="20">
        <v>162</v>
      </c>
      <c r="C166" s="20" t="s">
        <v>239</v>
      </c>
      <c r="D166" s="20" t="s">
        <v>140</v>
      </c>
      <c r="E166" s="20" t="s">
        <v>73</v>
      </c>
      <c r="F166" s="22" t="s">
        <v>246</v>
      </c>
      <c r="G166" s="22" t="s">
        <v>63</v>
      </c>
      <c r="H166" s="20" t="s">
        <v>69</v>
      </c>
      <c r="I166" s="19" t="s">
        <v>65</v>
      </c>
      <c r="J166" s="19"/>
      <c r="K166" s="21" t="s">
        <v>395</v>
      </c>
    </row>
    <row r="167" spans="2:11" ht="13.5" customHeight="1">
      <c r="B167" s="20">
        <v>163</v>
      </c>
      <c r="C167" s="20" t="s">
        <v>239</v>
      </c>
      <c r="D167" s="20" t="s">
        <v>140</v>
      </c>
      <c r="E167" s="20" t="s">
        <v>73</v>
      </c>
      <c r="F167" s="22" t="s">
        <v>247</v>
      </c>
      <c r="G167" s="22" t="s">
        <v>63</v>
      </c>
      <c r="H167" s="20" t="s">
        <v>69</v>
      </c>
      <c r="I167" s="19" t="s">
        <v>65</v>
      </c>
      <c r="J167" s="19"/>
      <c r="K167" s="21" t="s">
        <v>395</v>
      </c>
    </row>
    <row r="168" spans="2:11" ht="13.5" customHeight="1">
      <c r="B168" s="20">
        <v>164</v>
      </c>
      <c r="C168" s="20" t="s">
        <v>239</v>
      </c>
      <c r="D168" s="20" t="s">
        <v>140</v>
      </c>
      <c r="E168" s="20" t="s">
        <v>73</v>
      </c>
      <c r="F168" s="22" t="s">
        <v>248</v>
      </c>
      <c r="G168" s="22" t="s">
        <v>63</v>
      </c>
      <c r="H168" s="20" t="s">
        <v>69</v>
      </c>
      <c r="I168" s="19" t="s">
        <v>65</v>
      </c>
      <c r="J168" s="19"/>
      <c r="K168" s="21" t="s">
        <v>395</v>
      </c>
    </row>
    <row r="169" spans="2:11" ht="13.5" customHeight="1">
      <c r="B169" s="20">
        <v>165</v>
      </c>
      <c r="C169" s="20" t="s">
        <v>239</v>
      </c>
      <c r="D169" s="20" t="s">
        <v>140</v>
      </c>
      <c r="E169" s="20" t="s">
        <v>73</v>
      </c>
      <c r="F169" s="22" t="s">
        <v>249</v>
      </c>
      <c r="G169" s="22" t="s">
        <v>63</v>
      </c>
      <c r="H169" s="20" t="s">
        <v>69</v>
      </c>
      <c r="I169" s="19" t="s">
        <v>65</v>
      </c>
      <c r="J169" s="19"/>
      <c r="K169" s="21" t="s">
        <v>395</v>
      </c>
    </row>
    <row r="170" spans="2:11" ht="13.5" customHeight="1">
      <c r="B170" s="20">
        <v>166</v>
      </c>
      <c r="C170" s="20" t="s">
        <v>239</v>
      </c>
      <c r="D170" s="20" t="s">
        <v>140</v>
      </c>
      <c r="E170" s="20" t="s">
        <v>77</v>
      </c>
      <c r="F170" s="22" t="s">
        <v>250</v>
      </c>
      <c r="G170" s="22" t="s">
        <v>63</v>
      </c>
      <c r="H170" s="20" t="s">
        <v>69</v>
      </c>
      <c r="I170" s="19" t="s">
        <v>65</v>
      </c>
      <c r="J170" s="19"/>
      <c r="K170" s="21" t="s">
        <v>395</v>
      </c>
    </row>
    <row r="171" spans="2:11" ht="13.5" customHeight="1">
      <c r="B171" s="20">
        <v>167</v>
      </c>
      <c r="C171" s="20" t="s">
        <v>239</v>
      </c>
      <c r="D171" s="20" t="s">
        <v>140</v>
      </c>
      <c r="E171" s="20" t="s">
        <v>77</v>
      </c>
      <c r="F171" s="22" t="s">
        <v>251</v>
      </c>
      <c r="G171" s="22" t="s">
        <v>63</v>
      </c>
      <c r="H171" s="20" t="s">
        <v>69</v>
      </c>
      <c r="I171" s="19" t="s">
        <v>65</v>
      </c>
      <c r="J171" s="19"/>
      <c r="K171" s="21" t="s">
        <v>395</v>
      </c>
    </row>
    <row r="172" spans="2:11" ht="13.5" customHeight="1">
      <c r="B172" s="20">
        <v>168</v>
      </c>
      <c r="C172" s="20" t="s">
        <v>239</v>
      </c>
      <c r="D172" s="20" t="s">
        <v>140</v>
      </c>
      <c r="E172" s="20" t="s">
        <v>77</v>
      </c>
      <c r="F172" s="22" t="s">
        <v>252</v>
      </c>
      <c r="G172" s="22" t="s">
        <v>63</v>
      </c>
      <c r="H172" s="20" t="s">
        <v>69</v>
      </c>
      <c r="I172" s="19" t="s">
        <v>65</v>
      </c>
      <c r="J172" s="19"/>
      <c r="K172" s="21" t="s">
        <v>395</v>
      </c>
    </row>
    <row r="173" spans="2:11" ht="13.5" customHeight="1">
      <c r="B173" s="20">
        <v>169</v>
      </c>
      <c r="C173" s="20" t="s">
        <v>239</v>
      </c>
      <c r="D173" s="20" t="s">
        <v>140</v>
      </c>
      <c r="E173" s="20" t="s">
        <v>77</v>
      </c>
      <c r="F173" s="22" t="s">
        <v>253</v>
      </c>
      <c r="G173" s="22" t="s">
        <v>63</v>
      </c>
      <c r="H173" s="20" t="s">
        <v>69</v>
      </c>
      <c r="I173" s="19" t="s">
        <v>65</v>
      </c>
      <c r="J173" s="19"/>
      <c r="K173" s="21" t="s">
        <v>395</v>
      </c>
    </row>
    <row r="174" spans="2:11" ht="13.5" customHeight="1">
      <c r="B174" s="20">
        <v>170</v>
      </c>
      <c r="C174" s="20" t="s">
        <v>239</v>
      </c>
      <c r="D174" s="20" t="s">
        <v>187</v>
      </c>
      <c r="E174" s="20" t="s">
        <v>73</v>
      </c>
      <c r="F174" s="22" t="s">
        <v>254</v>
      </c>
      <c r="G174" s="22" t="s">
        <v>63</v>
      </c>
      <c r="H174" s="20" t="s">
        <v>69</v>
      </c>
      <c r="I174" s="19" t="s">
        <v>65</v>
      </c>
      <c r="J174" s="19"/>
      <c r="K174" s="21" t="s">
        <v>395</v>
      </c>
    </row>
    <row r="175" spans="2:11" ht="13.5" customHeight="1">
      <c r="B175" s="20">
        <v>171</v>
      </c>
      <c r="C175" s="20" t="s">
        <v>255</v>
      </c>
      <c r="D175" s="20" t="s">
        <v>159</v>
      </c>
      <c r="E175" s="20" t="s">
        <v>73</v>
      </c>
      <c r="F175" s="22" t="s">
        <v>256</v>
      </c>
      <c r="G175" s="22" t="s">
        <v>117</v>
      </c>
      <c r="H175" s="20" t="s">
        <v>161</v>
      </c>
      <c r="I175" s="19" t="s">
        <v>65</v>
      </c>
      <c r="J175" s="19"/>
      <c r="K175" s="21" t="s">
        <v>396</v>
      </c>
    </row>
    <row r="176" spans="2:11" ht="13.5" customHeight="1">
      <c r="B176" s="20">
        <v>172</v>
      </c>
      <c r="C176" s="20" t="s">
        <v>255</v>
      </c>
      <c r="D176" s="20" t="s">
        <v>159</v>
      </c>
      <c r="E176" s="20" t="s">
        <v>73</v>
      </c>
      <c r="F176" s="22" t="s">
        <v>257</v>
      </c>
      <c r="G176" s="22" t="s">
        <v>117</v>
      </c>
      <c r="H176" s="20" t="s">
        <v>161</v>
      </c>
      <c r="I176" s="19" t="s">
        <v>65</v>
      </c>
      <c r="J176" s="19"/>
      <c r="K176" s="21" t="s">
        <v>396</v>
      </c>
    </row>
    <row r="177" spans="2:11" ht="13.5" customHeight="1">
      <c r="B177" s="20">
        <v>173</v>
      </c>
      <c r="C177" s="20" t="s">
        <v>255</v>
      </c>
      <c r="D177" s="20" t="s">
        <v>159</v>
      </c>
      <c r="E177" s="20" t="s">
        <v>73</v>
      </c>
      <c r="F177" s="22" t="s">
        <v>258</v>
      </c>
      <c r="G177" s="22" t="s">
        <v>117</v>
      </c>
      <c r="H177" s="20" t="s">
        <v>161</v>
      </c>
      <c r="I177" s="19" t="s">
        <v>65</v>
      </c>
      <c r="J177" s="19"/>
      <c r="K177" s="21" t="s">
        <v>396</v>
      </c>
    </row>
    <row r="178" spans="2:11" ht="13.5" customHeight="1">
      <c r="B178" s="20">
        <v>174</v>
      </c>
      <c r="C178" s="20" t="s">
        <v>255</v>
      </c>
      <c r="D178" s="20" t="s">
        <v>159</v>
      </c>
      <c r="E178" s="20" t="s">
        <v>73</v>
      </c>
      <c r="F178" s="22" t="s">
        <v>259</v>
      </c>
      <c r="G178" s="22" t="s">
        <v>117</v>
      </c>
      <c r="H178" s="20" t="s">
        <v>161</v>
      </c>
      <c r="I178" s="19" t="s">
        <v>65</v>
      </c>
      <c r="J178" s="19"/>
      <c r="K178" s="21" t="s">
        <v>396</v>
      </c>
    </row>
    <row r="179" spans="2:11" ht="13.5" customHeight="1">
      <c r="B179" s="20">
        <v>175</v>
      </c>
      <c r="C179" s="20" t="s">
        <v>255</v>
      </c>
      <c r="D179" s="20" t="s">
        <v>159</v>
      </c>
      <c r="E179" s="20" t="s">
        <v>73</v>
      </c>
      <c r="F179" s="22" t="s">
        <v>260</v>
      </c>
      <c r="G179" s="22" t="s">
        <v>117</v>
      </c>
      <c r="H179" s="20" t="s">
        <v>161</v>
      </c>
      <c r="I179" s="19" t="s">
        <v>65</v>
      </c>
      <c r="J179" s="19"/>
      <c r="K179" s="21" t="s">
        <v>396</v>
      </c>
    </row>
    <row r="180" spans="2:11" ht="13.5" customHeight="1">
      <c r="B180" s="20">
        <v>176</v>
      </c>
      <c r="C180" s="20" t="s">
        <v>255</v>
      </c>
      <c r="D180" s="20" t="s">
        <v>159</v>
      </c>
      <c r="E180" s="20" t="s">
        <v>73</v>
      </c>
      <c r="F180" s="22" t="s">
        <v>261</v>
      </c>
      <c r="G180" s="22" t="s">
        <v>117</v>
      </c>
      <c r="H180" s="20" t="s">
        <v>161</v>
      </c>
      <c r="I180" s="19" t="s">
        <v>65</v>
      </c>
      <c r="J180" s="19"/>
      <c r="K180" s="21" t="s">
        <v>396</v>
      </c>
    </row>
    <row r="181" spans="2:11" ht="13.5" customHeight="1">
      <c r="B181" s="20">
        <v>177</v>
      </c>
      <c r="C181" s="20" t="s">
        <v>255</v>
      </c>
      <c r="D181" s="20" t="s">
        <v>159</v>
      </c>
      <c r="E181" s="20" t="s">
        <v>73</v>
      </c>
      <c r="F181" s="22" t="s">
        <v>262</v>
      </c>
      <c r="G181" s="22" t="s">
        <v>117</v>
      </c>
      <c r="H181" s="20" t="s">
        <v>161</v>
      </c>
      <c r="I181" s="19" t="s">
        <v>65</v>
      </c>
      <c r="J181" s="19"/>
      <c r="K181" s="21" t="s">
        <v>396</v>
      </c>
    </row>
    <row r="182" spans="2:11" ht="13.5" customHeight="1">
      <c r="B182" s="20">
        <v>178</v>
      </c>
      <c r="C182" s="20" t="s">
        <v>255</v>
      </c>
      <c r="D182" s="20" t="s">
        <v>159</v>
      </c>
      <c r="E182" s="20" t="s">
        <v>73</v>
      </c>
      <c r="F182" s="22" t="s">
        <v>263</v>
      </c>
      <c r="G182" s="22" t="s">
        <v>117</v>
      </c>
      <c r="H182" s="20" t="s">
        <v>161</v>
      </c>
      <c r="I182" s="19" t="s">
        <v>65</v>
      </c>
      <c r="J182" s="19"/>
      <c r="K182" s="21" t="s">
        <v>396</v>
      </c>
    </row>
    <row r="183" spans="2:11" ht="13.5" customHeight="1">
      <c r="B183" s="20">
        <v>179</v>
      </c>
      <c r="C183" s="20" t="s">
        <v>255</v>
      </c>
      <c r="D183" s="20" t="s">
        <v>159</v>
      </c>
      <c r="E183" s="20" t="s">
        <v>73</v>
      </c>
      <c r="F183" s="22" t="s">
        <v>264</v>
      </c>
      <c r="G183" s="22" t="s">
        <v>117</v>
      </c>
      <c r="H183" s="20" t="s">
        <v>161</v>
      </c>
      <c r="I183" s="19" t="s">
        <v>65</v>
      </c>
      <c r="J183" s="19"/>
      <c r="K183" s="21" t="s">
        <v>396</v>
      </c>
    </row>
    <row r="184" spans="2:11" ht="13.5" customHeight="1">
      <c r="B184" s="20">
        <v>180</v>
      </c>
      <c r="C184" s="20" t="s">
        <v>255</v>
      </c>
      <c r="D184" s="20" t="s">
        <v>159</v>
      </c>
      <c r="E184" s="20" t="s">
        <v>73</v>
      </c>
      <c r="F184" s="22" t="s">
        <v>265</v>
      </c>
      <c r="G184" s="22" t="s">
        <v>117</v>
      </c>
      <c r="H184" s="20" t="s">
        <v>161</v>
      </c>
      <c r="I184" s="19" t="s">
        <v>65</v>
      </c>
      <c r="J184" s="19"/>
      <c r="K184" s="21" t="s">
        <v>396</v>
      </c>
    </row>
    <row r="185" spans="2:11" ht="13.5" customHeight="1">
      <c r="B185" s="20">
        <v>181</v>
      </c>
      <c r="C185" s="20" t="s">
        <v>255</v>
      </c>
      <c r="D185" s="20" t="s">
        <v>159</v>
      </c>
      <c r="E185" s="20" t="s">
        <v>77</v>
      </c>
      <c r="F185" s="22" t="s">
        <v>266</v>
      </c>
      <c r="G185" s="22" t="s">
        <v>117</v>
      </c>
      <c r="H185" s="20" t="s">
        <v>161</v>
      </c>
      <c r="I185" s="19" t="s">
        <v>65</v>
      </c>
      <c r="J185" s="19"/>
      <c r="K185" s="21" t="s">
        <v>396</v>
      </c>
    </row>
    <row r="186" spans="2:11" ht="13.5" customHeight="1">
      <c r="B186" s="20">
        <v>182</v>
      </c>
      <c r="C186" s="20" t="s">
        <v>255</v>
      </c>
      <c r="D186" s="20" t="s">
        <v>159</v>
      </c>
      <c r="E186" s="20" t="s">
        <v>77</v>
      </c>
      <c r="F186" s="22" t="s">
        <v>267</v>
      </c>
      <c r="G186" s="22" t="s">
        <v>117</v>
      </c>
      <c r="H186" s="20" t="s">
        <v>161</v>
      </c>
      <c r="I186" s="19" t="s">
        <v>65</v>
      </c>
      <c r="J186" s="19"/>
      <c r="K186" s="21" t="s">
        <v>396</v>
      </c>
    </row>
    <row r="187" spans="2:11" ht="13.5" customHeight="1">
      <c r="B187" s="20">
        <v>183</v>
      </c>
      <c r="C187" s="20" t="s">
        <v>255</v>
      </c>
      <c r="D187" s="20" t="s">
        <v>159</v>
      </c>
      <c r="E187" s="20" t="s">
        <v>77</v>
      </c>
      <c r="F187" s="22" t="s">
        <v>268</v>
      </c>
      <c r="G187" s="22" t="s">
        <v>117</v>
      </c>
      <c r="H187" s="20" t="s">
        <v>161</v>
      </c>
      <c r="I187" s="19" t="s">
        <v>65</v>
      </c>
      <c r="J187" s="19"/>
      <c r="K187" s="21" t="s">
        <v>396</v>
      </c>
    </row>
    <row r="188" spans="2:11" ht="13.5" customHeight="1">
      <c r="B188" s="20">
        <v>184</v>
      </c>
      <c r="C188" s="20" t="s">
        <v>269</v>
      </c>
      <c r="D188" s="20" t="s">
        <v>170</v>
      </c>
      <c r="E188" s="20" t="s">
        <v>73</v>
      </c>
      <c r="F188" s="22" t="s">
        <v>270</v>
      </c>
      <c r="G188" s="22" t="s">
        <v>117</v>
      </c>
      <c r="H188" s="20" t="s">
        <v>161</v>
      </c>
      <c r="I188" s="19" t="s">
        <v>65</v>
      </c>
      <c r="J188" s="19"/>
      <c r="K188" s="21" t="s">
        <v>397</v>
      </c>
    </row>
    <row r="189" spans="2:11" ht="13.5" customHeight="1">
      <c r="B189" s="20">
        <v>185</v>
      </c>
      <c r="C189" s="20" t="s">
        <v>269</v>
      </c>
      <c r="D189" s="20" t="s">
        <v>170</v>
      </c>
      <c r="E189" s="20" t="s">
        <v>73</v>
      </c>
      <c r="F189" s="22" t="s">
        <v>271</v>
      </c>
      <c r="G189" s="22" t="s">
        <v>117</v>
      </c>
      <c r="H189" s="20" t="s">
        <v>161</v>
      </c>
      <c r="I189" s="19" t="s">
        <v>65</v>
      </c>
      <c r="J189" s="19"/>
      <c r="K189" s="21" t="s">
        <v>397</v>
      </c>
    </row>
    <row r="190" spans="2:11" ht="13.5" customHeight="1">
      <c r="B190" s="20">
        <v>186</v>
      </c>
      <c r="C190" s="20" t="s">
        <v>269</v>
      </c>
      <c r="D190" s="20" t="s">
        <v>170</v>
      </c>
      <c r="E190" s="20" t="s">
        <v>73</v>
      </c>
      <c r="F190" s="22" t="s">
        <v>272</v>
      </c>
      <c r="G190" s="22" t="s">
        <v>117</v>
      </c>
      <c r="H190" s="20" t="s">
        <v>161</v>
      </c>
      <c r="I190" s="19" t="s">
        <v>65</v>
      </c>
      <c r="J190" s="19"/>
      <c r="K190" s="21" t="s">
        <v>397</v>
      </c>
    </row>
    <row r="191" spans="2:11" ht="13.5" customHeight="1">
      <c r="B191" s="20">
        <v>187</v>
      </c>
      <c r="C191" s="20" t="s">
        <v>269</v>
      </c>
      <c r="D191" s="20" t="s">
        <v>170</v>
      </c>
      <c r="E191" s="20" t="s">
        <v>73</v>
      </c>
      <c r="F191" s="22" t="s">
        <v>273</v>
      </c>
      <c r="G191" s="22" t="s">
        <v>117</v>
      </c>
      <c r="H191" s="20" t="s">
        <v>161</v>
      </c>
      <c r="I191" s="19" t="s">
        <v>65</v>
      </c>
      <c r="J191" s="19"/>
      <c r="K191" s="21" t="s">
        <v>397</v>
      </c>
    </row>
    <row r="192" spans="2:11" ht="13.5" customHeight="1">
      <c r="B192" s="20">
        <v>188</v>
      </c>
      <c r="C192" s="20" t="s">
        <v>269</v>
      </c>
      <c r="D192" s="20" t="s">
        <v>170</v>
      </c>
      <c r="E192" s="20" t="s">
        <v>73</v>
      </c>
      <c r="F192" s="22" t="s">
        <v>274</v>
      </c>
      <c r="G192" s="22" t="s">
        <v>117</v>
      </c>
      <c r="H192" s="20" t="s">
        <v>161</v>
      </c>
      <c r="I192" s="19" t="s">
        <v>65</v>
      </c>
      <c r="J192" s="19"/>
      <c r="K192" s="21" t="s">
        <v>397</v>
      </c>
    </row>
    <row r="193" spans="2:11" ht="13.5" customHeight="1">
      <c r="B193" s="20">
        <v>189</v>
      </c>
      <c r="C193" s="20" t="s">
        <v>269</v>
      </c>
      <c r="D193" s="20" t="s">
        <v>170</v>
      </c>
      <c r="E193" s="20" t="s">
        <v>73</v>
      </c>
      <c r="F193" s="22" t="s">
        <v>275</v>
      </c>
      <c r="G193" s="22" t="s">
        <v>117</v>
      </c>
      <c r="H193" s="20" t="s">
        <v>161</v>
      </c>
      <c r="I193" s="19" t="s">
        <v>65</v>
      </c>
      <c r="J193" s="19"/>
      <c r="K193" s="21" t="s">
        <v>397</v>
      </c>
    </row>
    <row r="194" spans="2:11" ht="13.5" customHeight="1">
      <c r="B194" s="20">
        <v>190</v>
      </c>
      <c r="C194" s="20" t="s">
        <v>269</v>
      </c>
      <c r="D194" s="20" t="s">
        <v>170</v>
      </c>
      <c r="E194" s="20" t="s">
        <v>73</v>
      </c>
      <c r="F194" s="22" t="s">
        <v>276</v>
      </c>
      <c r="G194" s="22" t="s">
        <v>117</v>
      </c>
      <c r="H194" s="20" t="s">
        <v>161</v>
      </c>
      <c r="I194" s="19" t="s">
        <v>65</v>
      </c>
      <c r="J194" s="19"/>
      <c r="K194" s="21" t="s">
        <v>397</v>
      </c>
    </row>
    <row r="195" spans="2:11" ht="13.5" customHeight="1">
      <c r="B195" s="20">
        <v>191</v>
      </c>
      <c r="C195" s="20" t="s">
        <v>269</v>
      </c>
      <c r="D195" s="20" t="s">
        <v>170</v>
      </c>
      <c r="E195" s="20" t="s">
        <v>73</v>
      </c>
      <c r="F195" s="22" t="s">
        <v>277</v>
      </c>
      <c r="G195" s="22" t="s">
        <v>117</v>
      </c>
      <c r="H195" s="20" t="s">
        <v>161</v>
      </c>
      <c r="I195" s="19" t="s">
        <v>65</v>
      </c>
      <c r="J195" s="19"/>
      <c r="K195" s="21" t="s">
        <v>397</v>
      </c>
    </row>
    <row r="196" spans="2:11" ht="13.5" customHeight="1">
      <c r="B196" s="20">
        <v>192</v>
      </c>
      <c r="C196" s="20" t="s">
        <v>269</v>
      </c>
      <c r="D196" s="20" t="s">
        <v>170</v>
      </c>
      <c r="E196" s="20" t="s">
        <v>73</v>
      </c>
      <c r="F196" s="22" t="s">
        <v>278</v>
      </c>
      <c r="G196" s="22" t="s">
        <v>117</v>
      </c>
      <c r="H196" s="20" t="s">
        <v>161</v>
      </c>
      <c r="I196" s="19" t="s">
        <v>65</v>
      </c>
      <c r="J196" s="19"/>
      <c r="K196" s="21" t="s">
        <v>397</v>
      </c>
    </row>
    <row r="197" spans="2:11" ht="13.5" customHeight="1">
      <c r="B197" s="20">
        <v>193</v>
      </c>
      <c r="C197" s="20" t="s">
        <v>269</v>
      </c>
      <c r="D197" s="20" t="s">
        <v>170</v>
      </c>
      <c r="E197" s="20" t="s">
        <v>73</v>
      </c>
      <c r="F197" s="22" t="s">
        <v>279</v>
      </c>
      <c r="G197" s="22" t="s">
        <v>117</v>
      </c>
      <c r="H197" s="20" t="s">
        <v>161</v>
      </c>
      <c r="I197" s="19" t="s">
        <v>65</v>
      </c>
      <c r="J197" s="19"/>
      <c r="K197" s="21" t="s">
        <v>397</v>
      </c>
    </row>
    <row r="198" spans="2:11" ht="13.5" customHeight="1">
      <c r="B198" s="20">
        <v>194</v>
      </c>
      <c r="C198" s="20" t="s">
        <v>269</v>
      </c>
      <c r="D198" s="20" t="s">
        <v>170</v>
      </c>
      <c r="E198" s="20" t="s">
        <v>73</v>
      </c>
      <c r="F198" s="22" t="s">
        <v>280</v>
      </c>
      <c r="G198" s="22" t="s">
        <v>117</v>
      </c>
      <c r="H198" s="20" t="s">
        <v>161</v>
      </c>
      <c r="I198" s="19" t="s">
        <v>65</v>
      </c>
      <c r="J198" s="19"/>
      <c r="K198" s="21" t="s">
        <v>397</v>
      </c>
    </row>
    <row r="199" spans="2:11" ht="13.5" customHeight="1">
      <c r="B199" s="20">
        <v>195</v>
      </c>
      <c r="C199" s="20" t="s">
        <v>269</v>
      </c>
      <c r="D199" s="20" t="s">
        <v>170</v>
      </c>
      <c r="E199" s="20" t="s">
        <v>73</v>
      </c>
      <c r="F199" s="22" t="s">
        <v>281</v>
      </c>
      <c r="G199" s="22" t="s">
        <v>117</v>
      </c>
      <c r="H199" s="20" t="s">
        <v>161</v>
      </c>
      <c r="I199" s="19" t="s">
        <v>65</v>
      </c>
      <c r="J199" s="19"/>
      <c r="K199" s="21" t="s">
        <v>397</v>
      </c>
    </row>
    <row r="200" spans="2:11" ht="13.5" customHeight="1">
      <c r="B200" s="20">
        <v>196</v>
      </c>
      <c r="C200" s="20" t="s">
        <v>269</v>
      </c>
      <c r="D200" s="20" t="s">
        <v>170</v>
      </c>
      <c r="E200" s="20" t="s">
        <v>73</v>
      </c>
      <c r="F200" s="22" t="s">
        <v>282</v>
      </c>
      <c r="G200" s="22" t="s">
        <v>117</v>
      </c>
      <c r="H200" s="20" t="s">
        <v>161</v>
      </c>
      <c r="I200" s="19" t="s">
        <v>65</v>
      </c>
      <c r="J200" s="19"/>
      <c r="K200" s="21" t="s">
        <v>397</v>
      </c>
    </row>
    <row r="201" spans="2:11" ht="13.5" customHeight="1">
      <c r="B201" s="20">
        <v>197</v>
      </c>
      <c r="C201" s="20" t="s">
        <v>269</v>
      </c>
      <c r="D201" s="20" t="s">
        <v>170</v>
      </c>
      <c r="E201" s="20" t="s">
        <v>73</v>
      </c>
      <c r="F201" s="22" t="s">
        <v>283</v>
      </c>
      <c r="G201" s="22" t="s">
        <v>117</v>
      </c>
      <c r="H201" s="20" t="s">
        <v>161</v>
      </c>
      <c r="I201" s="19" t="s">
        <v>65</v>
      </c>
      <c r="J201" s="19"/>
      <c r="K201" s="21" t="s">
        <v>397</v>
      </c>
    </row>
    <row r="202" spans="2:11" ht="13.5" customHeight="1">
      <c r="B202" s="20">
        <v>198</v>
      </c>
      <c r="C202" s="20" t="s">
        <v>269</v>
      </c>
      <c r="D202" s="20" t="s">
        <v>170</v>
      </c>
      <c r="E202" s="20" t="s">
        <v>73</v>
      </c>
      <c r="F202" s="22" t="s">
        <v>284</v>
      </c>
      <c r="G202" s="22" t="s">
        <v>117</v>
      </c>
      <c r="H202" s="20" t="s">
        <v>161</v>
      </c>
      <c r="I202" s="19" t="s">
        <v>65</v>
      </c>
      <c r="J202" s="19"/>
      <c r="K202" s="21" t="s">
        <v>397</v>
      </c>
    </row>
    <row r="203" spans="2:11" ht="13.5" customHeight="1">
      <c r="B203" s="20">
        <v>199</v>
      </c>
      <c r="C203" s="20" t="s">
        <v>269</v>
      </c>
      <c r="D203" s="20" t="s">
        <v>170</v>
      </c>
      <c r="E203" s="20" t="s">
        <v>73</v>
      </c>
      <c r="F203" s="22" t="s">
        <v>285</v>
      </c>
      <c r="G203" s="22" t="s">
        <v>117</v>
      </c>
      <c r="H203" s="20" t="s">
        <v>161</v>
      </c>
      <c r="I203" s="19" t="s">
        <v>65</v>
      </c>
      <c r="J203" s="19"/>
      <c r="K203" s="21" t="s">
        <v>397</v>
      </c>
    </row>
    <row r="204" spans="2:11" ht="13.5" customHeight="1">
      <c r="B204" s="20">
        <v>200</v>
      </c>
      <c r="C204" s="20" t="s">
        <v>269</v>
      </c>
      <c r="D204" s="20" t="s">
        <v>170</v>
      </c>
      <c r="E204" s="20" t="s">
        <v>73</v>
      </c>
      <c r="F204" s="22" t="s">
        <v>286</v>
      </c>
      <c r="G204" s="22" t="s">
        <v>117</v>
      </c>
      <c r="H204" s="20" t="s">
        <v>161</v>
      </c>
      <c r="I204" s="19" t="s">
        <v>65</v>
      </c>
      <c r="J204" s="19"/>
      <c r="K204" s="21" t="s">
        <v>397</v>
      </c>
    </row>
    <row r="205" spans="2:11" ht="13.5" customHeight="1">
      <c r="B205" s="20">
        <v>201</v>
      </c>
      <c r="C205" s="20" t="s">
        <v>269</v>
      </c>
      <c r="D205" s="20" t="s">
        <v>170</v>
      </c>
      <c r="E205" s="20" t="s">
        <v>73</v>
      </c>
      <c r="F205" s="22" t="s">
        <v>287</v>
      </c>
      <c r="G205" s="22" t="s">
        <v>117</v>
      </c>
      <c r="H205" s="20" t="s">
        <v>161</v>
      </c>
      <c r="I205" s="19" t="s">
        <v>65</v>
      </c>
      <c r="J205" s="19"/>
      <c r="K205" s="21" t="s">
        <v>397</v>
      </c>
    </row>
    <row r="206" spans="2:11" ht="13.5" customHeight="1">
      <c r="B206" s="20">
        <v>202</v>
      </c>
      <c r="C206" s="20" t="s">
        <v>269</v>
      </c>
      <c r="D206" s="20" t="s">
        <v>170</v>
      </c>
      <c r="E206" s="20" t="s">
        <v>73</v>
      </c>
      <c r="F206" s="22" t="s">
        <v>288</v>
      </c>
      <c r="G206" s="22" t="s">
        <v>117</v>
      </c>
      <c r="H206" s="20" t="s">
        <v>161</v>
      </c>
      <c r="I206" s="19" t="s">
        <v>65</v>
      </c>
      <c r="J206" s="19"/>
      <c r="K206" s="21" t="s">
        <v>397</v>
      </c>
    </row>
    <row r="207" spans="2:11" ht="13.5" customHeight="1">
      <c r="B207" s="20">
        <v>203</v>
      </c>
      <c r="C207" s="20" t="s">
        <v>269</v>
      </c>
      <c r="D207" s="20" t="s">
        <v>170</v>
      </c>
      <c r="E207" s="20" t="s">
        <v>73</v>
      </c>
      <c r="F207" s="22" t="s">
        <v>289</v>
      </c>
      <c r="G207" s="22" t="s">
        <v>117</v>
      </c>
      <c r="H207" s="20" t="s">
        <v>161</v>
      </c>
      <c r="I207" s="19" t="s">
        <v>65</v>
      </c>
      <c r="J207" s="19"/>
      <c r="K207" s="21" t="s">
        <v>397</v>
      </c>
    </row>
    <row r="208" spans="2:11" ht="13.5" customHeight="1">
      <c r="B208" s="20">
        <v>204</v>
      </c>
      <c r="C208" s="20" t="s">
        <v>269</v>
      </c>
      <c r="D208" s="20" t="s">
        <v>170</v>
      </c>
      <c r="E208" s="20" t="s">
        <v>73</v>
      </c>
      <c r="F208" s="22" t="s">
        <v>290</v>
      </c>
      <c r="G208" s="22" t="s">
        <v>117</v>
      </c>
      <c r="H208" s="20" t="s">
        <v>161</v>
      </c>
      <c r="I208" s="19" t="s">
        <v>65</v>
      </c>
      <c r="J208" s="19"/>
      <c r="K208" s="21" t="s">
        <v>397</v>
      </c>
    </row>
    <row r="209" spans="2:11" ht="13.5" customHeight="1">
      <c r="B209" s="20">
        <v>205</v>
      </c>
      <c r="C209" s="20" t="s">
        <v>269</v>
      </c>
      <c r="D209" s="20" t="s">
        <v>170</v>
      </c>
      <c r="E209" s="20" t="s">
        <v>73</v>
      </c>
      <c r="F209" s="22" t="s">
        <v>291</v>
      </c>
      <c r="G209" s="22" t="s">
        <v>117</v>
      </c>
      <c r="H209" s="20" t="s">
        <v>161</v>
      </c>
      <c r="I209" s="19" t="s">
        <v>65</v>
      </c>
      <c r="J209" s="19"/>
      <c r="K209" s="21" t="s">
        <v>397</v>
      </c>
    </row>
    <row r="210" spans="2:11" ht="13.5" customHeight="1">
      <c r="B210" s="20">
        <v>206</v>
      </c>
      <c r="C210" s="20" t="s">
        <v>269</v>
      </c>
      <c r="D210" s="20" t="s">
        <v>170</v>
      </c>
      <c r="E210" s="20" t="s">
        <v>73</v>
      </c>
      <c r="F210" s="22" t="s">
        <v>292</v>
      </c>
      <c r="G210" s="22" t="s">
        <v>117</v>
      </c>
      <c r="H210" s="20" t="s">
        <v>161</v>
      </c>
      <c r="I210" s="19" t="s">
        <v>65</v>
      </c>
      <c r="J210" s="19"/>
      <c r="K210" s="21" t="s">
        <v>397</v>
      </c>
    </row>
    <row r="211" spans="2:11" ht="13.5" customHeight="1">
      <c r="B211" s="20">
        <v>207</v>
      </c>
      <c r="C211" s="20" t="s">
        <v>269</v>
      </c>
      <c r="D211" s="20" t="s">
        <v>170</v>
      </c>
      <c r="E211" s="20" t="s">
        <v>73</v>
      </c>
      <c r="F211" s="22" t="s">
        <v>293</v>
      </c>
      <c r="G211" s="22" t="s">
        <v>117</v>
      </c>
      <c r="H211" s="20" t="s">
        <v>161</v>
      </c>
      <c r="I211" s="19" t="s">
        <v>65</v>
      </c>
      <c r="J211" s="19"/>
      <c r="K211" s="21" t="s">
        <v>397</v>
      </c>
    </row>
    <row r="212" spans="2:11" ht="13.5" customHeight="1">
      <c r="B212" s="20">
        <v>208</v>
      </c>
      <c r="C212" s="20" t="s">
        <v>269</v>
      </c>
      <c r="D212" s="20" t="s">
        <v>170</v>
      </c>
      <c r="E212" s="20" t="s">
        <v>73</v>
      </c>
      <c r="F212" s="22" t="s">
        <v>294</v>
      </c>
      <c r="G212" s="22" t="s">
        <v>117</v>
      </c>
      <c r="H212" s="20" t="s">
        <v>161</v>
      </c>
      <c r="I212" s="19" t="s">
        <v>65</v>
      </c>
      <c r="J212" s="19"/>
      <c r="K212" s="21" t="s">
        <v>397</v>
      </c>
    </row>
    <row r="213" spans="2:11" ht="13.5" customHeight="1">
      <c r="B213" s="20">
        <v>209</v>
      </c>
      <c r="C213" s="20" t="s">
        <v>269</v>
      </c>
      <c r="D213" s="20" t="s">
        <v>170</v>
      </c>
      <c r="E213" s="20" t="s">
        <v>73</v>
      </c>
      <c r="F213" s="22" t="s">
        <v>295</v>
      </c>
      <c r="G213" s="22" t="s">
        <v>117</v>
      </c>
      <c r="H213" s="20" t="s">
        <v>161</v>
      </c>
      <c r="I213" s="19" t="s">
        <v>65</v>
      </c>
      <c r="J213" s="19"/>
      <c r="K213" s="21" t="s">
        <v>397</v>
      </c>
    </row>
    <row r="214" spans="2:11" ht="13.5" customHeight="1">
      <c r="B214" s="20">
        <v>210</v>
      </c>
      <c r="C214" s="20" t="s">
        <v>269</v>
      </c>
      <c r="D214" s="20" t="s">
        <v>170</v>
      </c>
      <c r="E214" s="20" t="s">
        <v>73</v>
      </c>
      <c r="F214" s="22" t="s">
        <v>296</v>
      </c>
      <c r="G214" s="22" t="s">
        <v>117</v>
      </c>
      <c r="H214" s="20" t="s">
        <v>161</v>
      </c>
      <c r="I214" s="19" t="s">
        <v>65</v>
      </c>
      <c r="J214" s="19"/>
      <c r="K214" s="21" t="s">
        <v>397</v>
      </c>
    </row>
    <row r="215" spans="2:11" ht="13.5" customHeight="1">
      <c r="B215" s="20">
        <v>211</v>
      </c>
      <c r="C215" s="20" t="s">
        <v>269</v>
      </c>
      <c r="D215" s="20" t="s">
        <v>170</v>
      </c>
      <c r="E215" s="20" t="s">
        <v>73</v>
      </c>
      <c r="F215" s="22" t="s">
        <v>297</v>
      </c>
      <c r="G215" s="22" t="s">
        <v>117</v>
      </c>
      <c r="H215" s="20" t="s">
        <v>161</v>
      </c>
      <c r="I215" s="19" t="s">
        <v>65</v>
      </c>
      <c r="J215" s="19"/>
      <c r="K215" s="21" t="s">
        <v>397</v>
      </c>
    </row>
    <row r="216" spans="2:11" ht="13.5" customHeight="1">
      <c r="B216" s="20">
        <v>212</v>
      </c>
      <c r="C216" s="20" t="s">
        <v>269</v>
      </c>
      <c r="D216" s="20" t="s">
        <v>170</v>
      </c>
      <c r="E216" s="20" t="s">
        <v>73</v>
      </c>
      <c r="F216" s="22" t="s">
        <v>298</v>
      </c>
      <c r="G216" s="22" t="s">
        <v>117</v>
      </c>
      <c r="H216" s="20" t="s">
        <v>161</v>
      </c>
      <c r="I216" s="19" t="s">
        <v>65</v>
      </c>
      <c r="J216" s="19"/>
      <c r="K216" s="21" t="s">
        <v>397</v>
      </c>
    </row>
    <row r="217" spans="2:11" ht="13.5" customHeight="1">
      <c r="B217" s="20">
        <v>213</v>
      </c>
      <c r="C217" s="20" t="s">
        <v>269</v>
      </c>
      <c r="D217" s="20" t="s">
        <v>170</v>
      </c>
      <c r="E217" s="20" t="s">
        <v>73</v>
      </c>
      <c r="F217" s="22" t="s">
        <v>299</v>
      </c>
      <c r="G217" s="22" t="s">
        <v>117</v>
      </c>
      <c r="H217" s="20" t="s">
        <v>161</v>
      </c>
      <c r="I217" s="19" t="s">
        <v>65</v>
      </c>
      <c r="J217" s="19"/>
      <c r="K217" s="21" t="s">
        <v>397</v>
      </c>
    </row>
    <row r="218" spans="2:11" ht="13.5" customHeight="1">
      <c r="B218" s="20">
        <v>214</v>
      </c>
      <c r="C218" s="20" t="s">
        <v>269</v>
      </c>
      <c r="D218" s="20" t="s">
        <v>170</v>
      </c>
      <c r="E218" s="20" t="s">
        <v>73</v>
      </c>
      <c r="F218" s="22" t="s">
        <v>300</v>
      </c>
      <c r="G218" s="22" t="s">
        <v>117</v>
      </c>
      <c r="H218" s="20" t="s">
        <v>161</v>
      </c>
      <c r="I218" s="19" t="s">
        <v>65</v>
      </c>
      <c r="J218" s="19"/>
      <c r="K218" s="21" t="s">
        <v>397</v>
      </c>
    </row>
    <row r="219" spans="2:11" ht="13.5" customHeight="1">
      <c r="B219" s="20">
        <v>215</v>
      </c>
      <c r="C219" s="20" t="s">
        <v>269</v>
      </c>
      <c r="D219" s="20" t="s">
        <v>170</v>
      </c>
      <c r="E219" s="20" t="s">
        <v>73</v>
      </c>
      <c r="F219" s="22" t="s">
        <v>301</v>
      </c>
      <c r="G219" s="22" t="s">
        <v>117</v>
      </c>
      <c r="H219" s="20" t="s">
        <v>161</v>
      </c>
      <c r="I219" s="19" t="s">
        <v>65</v>
      </c>
      <c r="J219" s="19"/>
      <c r="K219" s="21" t="s">
        <v>397</v>
      </c>
    </row>
    <row r="220" spans="2:11" ht="13.5" customHeight="1">
      <c r="B220" s="20">
        <v>216</v>
      </c>
      <c r="C220" s="20" t="s">
        <v>269</v>
      </c>
      <c r="D220" s="20" t="s">
        <v>170</v>
      </c>
      <c r="E220" s="20" t="s">
        <v>73</v>
      </c>
      <c r="F220" s="22" t="s">
        <v>302</v>
      </c>
      <c r="G220" s="22" t="s">
        <v>117</v>
      </c>
      <c r="H220" s="20" t="s">
        <v>161</v>
      </c>
      <c r="I220" s="19" t="s">
        <v>65</v>
      </c>
      <c r="J220" s="19"/>
      <c r="K220" s="21" t="s">
        <v>397</v>
      </c>
    </row>
    <row r="221" spans="2:11" ht="13.5" customHeight="1">
      <c r="B221" s="20">
        <v>217</v>
      </c>
      <c r="C221" s="20" t="s">
        <v>269</v>
      </c>
      <c r="D221" s="20" t="s">
        <v>170</v>
      </c>
      <c r="E221" s="20" t="s">
        <v>73</v>
      </c>
      <c r="F221" s="22" t="s">
        <v>303</v>
      </c>
      <c r="G221" s="22" t="s">
        <v>117</v>
      </c>
      <c r="H221" s="20" t="s">
        <v>161</v>
      </c>
      <c r="I221" s="19" t="s">
        <v>65</v>
      </c>
      <c r="J221" s="19"/>
      <c r="K221" s="21" t="s">
        <v>397</v>
      </c>
    </row>
    <row r="222" spans="2:11" ht="13.5" customHeight="1">
      <c r="B222" s="20">
        <v>218</v>
      </c>
      <c r="C222" s="20" t="s">
        <v>269</v>
      </c>
      <c r="D222" s="20" t="s">
        <v>170</v>
      </c>
      <c r="E222" s="20" t="s">
        <v>73</v>
      </c>
      <c r="F222" s="22" t="s">
        <v>304</v>
      </c>
      <c r="G222" s="22" t="s">
        <v>117</v>
      </c>
      <c r="H222" s="20" t="s">
        <v>161</v>
      </c>
      <c r="I222" s="19" t="s">
        <v>65</v>
      </c>
      <c r="J222" s="19"/>
      <c r="K222" s="21" t="s">
        <v>397</v>
      </c>
    </row>
    <row r="223" spans="2:11" ht="13.5" customHeight="1">
      <c r="B223" s="20">
        <v>219</v>
      </c>
      <c r="C223" s="20" t="s">
        <v>269</v>
      </c>
      <c r="D223" s="20" t="s">
        <v>170</v>
      </c>
      <c r="E223" s="20" t="s">
        <v>73</v>
      </c>
      <c r="F223" s="22" t="s">
        <v>305</v>
      </c>
      <c r="G223" s="22" t="s">
        <v>117</v>
      </c>
      <c r="H223" s="20" t="s">
        <v>161</v>
      </c>
      <c r="I223" s="19" t="s">
        <v>65</v>
      </c>
      <c r="J223" s="19"/>
      <c r="K223" s="21" t="s">
        <v>397</v>
      </c>
    </row>
    <row r="224" spans="2:11" ht="13.5" customHeight="1">
      <c r="B224" s="20">
        <v>220</v>
      </c>
      <c r="C224" s="20" t="s">
        <v>269</v>
      </c>
      <c r="D224" s="20" t="s">
        <v>170</v>
      </c>
      <c r="E224" s="20" t="s">
        <v>73</v>
      </c>
      <c r="F224" s="22" t="s">
        <v>306</v>
      </c>
      <c r="G224" s="22" t="s">
        <v>117</v>
      </c>
      <c r="H224" s="20" t="s">
        <v>161</v>
      </c>
      <c r="I224" s="19" t="s">
        <v>65</v>
      </c>
      <c r="J224" s="19"/>
      <c r="K224" s="21" t="s">
        <v>397</v>
      </c>
    </row>
    <row r="225" spans="2:11" ht="13.5" customHeight="1">
      <c r="B225" s="20">
        <v>221</v>
      </c>
      <c r="C225" s="20" t="s">
        <v>269</v>
      </c>
      <c r="D225" s="20" t="s">
        <v>170</v>
      </c>
      <c r="E225" s="20" t="s">
        <v>73</v>
      </c>
      <c r="F225" s="22" t="s">
        <v>307</v>
      </c>
      <c r="G225" s="22" t="s">
        <v>117</v>
      </c>
      <c r="H225" s="20" t="s">
        <v>161</v>
      </c>
      <c r="I225" s="19" t="s">
        <v>65</v>
      </c>
      <c r="J225" s="19"/>
      <c r="K225" s="21" t="s">
        <v>397</v>
      </c>
    </row>
    <row r="226" spans="2:11" ht="13.5" customHeight="1">
      <c r="B226" s="20">
        <v>222</v>
      </c>
      <c r="C226" s="20" t="s">
        <v>269</v>
      </c>
      <c r="D226" s="20" t="s">
        <v>170</v>
      </c>
      <c r="E226" s="20" t="s">
        <v>73</v>
      </c>
      <c r="F226" s="22" t="s">
        <v>308</v>
      </c>
      <c r="G226" s="22" t="s">
        <v>117</v>
      </c>
      <c r="H226" s="20" t="s">
        <v>161</v>
      </c>
      <c r="I226" s="19" t="s">
        <v>65</v>
      </c>
      <c r="J226" s="19"/>
      <c r="K226" s="21" t="s">
        <v>397</v>
      </c>
    </row>
    <row r="227" spans="2:11" ht="13.5" customHeight="1">
      <c r="B227" s="20">
        <v>223</v>
      </c>
      <c r="C227" s="20" t="s">
        <v>269</v>
      </c>
      <c r="D227" s="20" t="s">
        <v>170</v>
      </c>
      <c r="E227" s="20" t="s">
        <v>73</v>
      </c>
      <c r="F227" s="22" t="s">
        <v>309</v>
      </c>
      <c r="G227" s="22" t="s">
        <v>117</v>
      </c>
      <c r="H227" s="20" t="s">
        <v>161</v>
      </c>
      <c r="I227" s="19" t="s">
        <v>65</v>
      </c>
      <c r="J227" s="19"/>
      <c r="K227" s="21" t="s">
        <v>397</v>
      </c>
    </row>
    <row r="228" spans="2:11" ht="13.5" customHeight="1">
      <c r="B228" s="20">
        <v>224</v>
      </c>
      <c r="C228" s="20" t="s">
        <v>269</v>
      </c>
      <c r="D228" s="20" t="s">
        <v>170</v>
      </c>
      <c r="E228" s="20" t="s">
        <v>77</v>
      </c>
      <c r="F228" s="22" t="s">
        <v>310</v>
      </c>
      <c r="G228" s="22" t="s">
        <v>117</v>
      </c>
      <c r="H228" s="20" t="s">
        <v>161</v>
      </c>
      <c r="I228" s="19" t="s">
        <v>65</v>
      </c>
      <c r="J228" s="19"/>
      <c r="K228" s="21" t="s">
        <v>397</v>
      </c>
    </row>
    <row r="229" spans="2:11" ht="13.5" customHeight="1">
      <c r="B229" s="20">
        <v>225</v>
      </c>
      <c r="C229" s="20" t="s">
        <v>269</v>
      </c>
      <c r="D229" s="20" t="s">
        <v>170</v>
      </c>
      <c r="E229" s="20" t="s">
        <v>77</v>
      </c>
      <c r="F229" s="22" t="s">
        <v>311</v>
      </c>
      <c r="G229" s="22" t="s">
        <v>117</v>
      </c>
      <c r="H229" s="20" t="s">
        <v>161</v>
      </c>
      <c r="I229" s="19" t="s">
        <v>65</v>
      </c>
      <c r="J229" s="19"/>
      <c r="K229" s="21" t="s">
        <v>397</v>
      </c>
    </row>
    <row r="230" spans="2:11" ht="13.5" customHeight="1">
      <c r="B230" s="20">
        <v>226</v>
      </c>
      <c r="C230" s="20" t="s">
        <v>269</v>
      </c>
      <c r="D230" s="20" t="s">
        <v>170</v>
      </c>
      <c r="E230" s="20" t="s">
        <v>77</v>
      </c>
      <c r="F230" s="22" t="s">
        <v>312</v>
      </c>
      <c r="G230" s="22" t="s">
        <v>117</v>
      </c>
      <c r="H230" s="20" t="s">
        <v>161</v>
      </c>
      <c r="I230" s="19" t="s">
        <v>65</v>
      </c>
      <c r="J230" s="19"/>
      <c r="K230" s="21" t="s">
        <v>397</v>
      </c>
    </row>
    <row r="231" spans="2:11" ht="13.5" customHeight="1">
      <c r="B231" s="20">
        <v>227</v>
      </c>
      <c r="C231" s="20" t="s">
        <v>269</v>
      </c>
      <c r="D231" s="20" t="s">
        <v>170</v>
      </c>
      <c r="E231" s="20" t="s">
        <v>77</v>
      </c>
      <c r="F231" s="22" t="s">
        <v>313</v>
      </c>
      <c r="G231" s="22" t="s">
        <v>117</v>
      </c>
      <c r="H231" s="20" t="s">
        <v>161</v>
      </c>
      <c r="I231" s="19" t="s">
        <v>65</v>
      </c>
      <c r="J231" s="19"/>
      <c r="K231" s="21" t="s">
        <v>397</v>
      </c>
    </row>
    <row r="232" spans="2:11" ht="13.5" customHeight="1">
      <c r="B232" s="20">
        <v>228</v>
      </c>
      <c r="C232" s="20" t="s">
        <v>269</v>
      </c>
      <c r="D232" s="20" t="s">
        <v>170</v>
      </c>
      <c r="E232" s="20" t="s">
        <v>77</v>
      </c>
      <c r="F232" s="22" t="s">
        <v>314</v>
      </c>
      <c r="G232" s="22" t="s">
        <v>117</v>
      </c>
      <c r="H232" s="20" t="s">
        <v>161</v>
      </c>
      <c r="I232" s="19" t="s">
        <v>65</v>
      </c>
      <c r="J232" s="19"/>
      <c r="K232" s="21" t="s">
        <v>397</v>
      </c>
    </row>
    <row r="233" spans="2:11" ht="13.5" customHeight="1">
      <c r="B233" s="20">
        <v>229</v>
      </c>
      <c r="C233" s="20" t="s">
        <v>269</v>
      </c>
      <c r="D233" s="20" t="s">
        <v>170</v>
      </c>
      <c r="E233" s="20" t="s">
        <v>77</v>
      </c>
      <c r="F233" s="22" t="s">
        <v>315</v>
      </c>
      <c r="G233" s="22" t="s">
        <v>117</v>
      </c>
      <c r="H233" s="20" t="s">
        <v>161</v>
      </c>
      <c r="I233" s="19" t="s">
        <v>65</v>
      </c>
      <c r="J233" s="19"/>
      <c r="K233" s="21" t="s">
        <v>397</v>
      </c>
    </row>
    <row r="234" spans="2:11" ht="13.5" customHeight="1">
      <c r="B234" s="20">
        <v>230</v>
      </c>
      <c r="C234" s="20" t="s">
        <v>269</v>
      </c>
      <c r="D234" s="20" t="s">
        <v>170</v>
      </c>
      <c r="E234" s="20" t="s">
        <v>77</v>
      </c>
      <c r="F234" s="22" t="s">
        <v>316</v>
      </c>
      <c r="G234" s="22" t="s">
        <v>117</v>
      </c>
      <c r="H234" s="20" t="s">
        <v>161</v>
      </c>
      <c r="I234" s="19" t="s">
        <v>65</v>
      </c>
      <c r="J234" s="19"/>
      <c r="K234" s="21" t="s">
        <v>397</v>
      </c>
    </row>
    <row r="235" spans="2:11" ht="13.5" customHeight="1">
      <c r="B235" s="20">
        <v>231</v>
      </c>
      <c r="C235" s="20" t="s">
        <v>269</v>
      </c>
      <c r="D235" s="20" t="s">
        <v>170</v>
      </c>
      <c r="E235" s="20" t="s">
        <v>77</v>
      </c>
      <c r="F235" s="22" t="s">
        <v>317</v>
      </c>
      <c r="G235" s="22" t="s">
        <v>117</v>
      </c>
      <c r="H235" s="20" t="s">
        <v>161</v>
      </c>
      <c r="I235" s="19" t="s">
        <v>65</v>
      </c>
      <c r="J235" s="19"/>
      <c r="K235" s="21" t="s">
        <v>397</v>
      </c>
    </row>
    <row r="236" spans="2:11" ht="13.5" customHeight="1">
      <c r="B236" s="20">
        <v>232</v>
      </c>
      <c r="C236" s="19" t="s">
        <v>327</v>
      </c>
      <c r="D236" s="20" t="s">
        <v>326</v>
      </c>
      <c r="E236" s="20" t="s">
        <v>73</v>
      </c>
      <c r="F236" s="19" t="s">
        <v>328</v>
      </c>
      <c r="G236" s="19" t="s">
        <v>337</v>
      </c>
      <c r="H236" s="20" t="s">
        <v>389</v>
      </c>
      <c r="I236" s="19" t="s">
        <v>65</v>
      </c>
      <c r="J236" s="20"/>
      <c r="K236" s="21" t="s">
        <v>394</v>
      </c>
    </row>
    <row r="237" spans="2:11" ht="13.5" customHeight="1">
      <c r="B237" s="20">
        <v>233</v>
      </c>
      <c r="C237" s="19" t="s">
        <v>327</v>
      </c>
      <c r="D237" s="20" t="s">
        <v>326</v>
      </c>
      <c r="E237" s="20" t="s">
        <v>73</v>
      </c>
      <c r="F237" s="19" t="s">
        <v>329</v>
      </c>
      <c r="G237" s="19" t="s">
        <v>337</v>
      </c>
      <c r="H237" s="20" t="s">
        <v>389</v>
      </c>
      <c r="I237" s="19" t="s">
        <v>65</v>
      </c>
      <c r="J237" s="20"/>
      <c r="K237" s="21" t="s">
        <v>394</v>
      </c>
    </row>
    <row r="238" spans="2:11" ht="13.5" customHeight="1">
      <c r="B238" s="20">
        <v>234</v>
      </c>
      <c r="C238" s="19" t="s">
        <v>327</v>
      </c>
      <c r="D238" s="20" t="s">
        <v>326</v>
      </c>
      <c r="E238" s="20" t="s">
        <v>73</v>
      </c>
      <c r="F238" s="19" t="s">
        <v>330</v>
      </c>
      <c r="G238" s="19" t="s">
        <v>337</v>
      </c>
      <c r="H238" s="20" t="s">
        <v>389</v>
      </c>
      <c r="I238" s="19" t="s">
        <v>65</v>
      </c>
      <c r="J238" s="20"/>
      <c r="K238" s="21" t="s">
        <v>394</v>
      </c>
    </row>
    <row r="239" spans="2:11" ht="13.5" customHeight="1">
      <c r="B239" s="20">
        <v>235</v>
      </c>
      <c r="C239" s="19" t="s">
        <v>327</v>
      </c>
      <c r="D239" s="20" t="s">
        <v>326</v>
      </c>
      <c r="E239" s="20" t="s">
        <v>73</v>
      </c>
      <c r="F239" s="19" t="s">
        <v>331</v>
      </c>
      <c r="G239" s="19" t="s">
        <v>337</v>
      </c>
      <c r="H239" s="20" t="s">
        <v>389</v>
      </c>
      <c r="I239" s="19" t="s">
        <v>65</v>
      </c>
      <c r="J239" s="20"/>
      <c r="K239" s="21" t="s">
        <v>394</v>
      </c>
    </row>
    <row r="240" spans="2:11" ht="13.5" customHeight="1">
      <c r="B240" s="20">
        <v>236</v>
      </c>
      <c r="C240" s="19" t="s">
        <v>327</v>
      </c>
      <c r="D240" s="20" t="s">
        <v>326</v>
      </c>
      <c r="E240" s="20" t="s">
        <v>73</v>
      </c>
      <c r="F240" s="19" t="s">
        <v>332</v>
      </c>
      <c r="G240" s="19" t="s">
        <v>337</v>
      </c>
      <c r="H240" s="20" t="s">
        <v>389</v>
      </c>
      <c r="I240" s="19" t="s">
        <v>65</v>
      </c>
      <c r="J240" s="20"/>
      <c r="K240" s="21" t="s">
        <v>394</v>
      </c>
    </row>
    <row r="241" spans="2:11" ht="13.5" customHeight="1">
      <c r="B241" s="20">
        <v>237</v>
      </c>
      <c r="C241" s="19" t="s">
        <v>327</v>
      </c>
      <c r="D241" s="20" t="s">
        <v>326</v>
      </c>
      <c r="E241" s="20" t="s">
        <v>73</v>
      </c>
      <c r="F241" s="19" t="s">
        <v>333</v>
      </c>
      <c r="G241" s="19" t="s">
        <v>337</v>
      </c>
      <c r="H241" s="20" t="s">
        <v>389</v>
      </c>
      <c r="I241" s="19" t="s">
        <v>65</v>
      </c>
      <c r="J241" s="20"/>
      <c r="K241" s="21" t="s">
        <v>394</v>
      </c>
    </row>
    <row r="242" spans="2:11" ht="13.5" customHeight="1">
      <c r="B242" s="20">
        <v>238</v>
      </c>
      <c r="C242" s="19" t="s">
        <v>327</v>
      </c>
      <c r="D242" s="20" t="s">
        <v>326</v>
      </c>
      <c r="E242" s="20" t="s">
        <v>73</v>
      </c>
      <c r="F242" s="19" t="s">
        <v>334</v>
      </c>
      <c r="G242" s="19" t="s">
        <v>337</v>
      </c>
      <c r="H242" s="20" t="s">
        <v>389</v>
      </c>
      <c r="I242" s="19" t="s">
        <v>65</v>
      </c>
      <c r="J242" s="20"/>
      <c r="K242" s="21" t="s">
        <v>394</v>
      </c>
    </row>
    <row r="243" spans="2:11" ht="13.5" customHeight="1">
      <c r="B243" s="20">
        <v>239</v>
      </c>
      <c r="C243" s="19" t="s">
        <v>327</v>
      </c>
      <c r="D243" s="20" t="s">
        <v>326</v>
      </c>
      <c r="E243" s="20" t="s">
        <v>73</v>
      </c>
      <c r="F243" s="19" t="s">
        <v>335</v>
      </c>
      <c r="G243" s="19" t="s">
        <v>337</v>
      </c>
      <c r="H243" s="20" t="s">
        <v>389</v>
      </c>
      <c r="I243" s="19" t="s">
        <v>65</v>
      </c>
      <c r="J243" s="20"/>
      <c r="K243" s="21" t="s">
        <v>394</v>
      </c>
    </row>
    <row r="244" spans="2:11" ht="13.5" customHeight="1">
      <c r="B244" s="20">
        <v>240</v>
      </c>
      <c r="C244" s="19" t="s">
        <v>327</v>
      </c>
      <c r="D244" s="19" t="s">
        <v>115</v>
      </c>
      <c r="E244" s="20" t="s">
        <v>73</v>
      </c>
      <c r="F244" s="19" t="s">
        <v>336</v>
      </c>
      <c r="G244" s="19" t="s">
        <v>337</v>
      </c>
      <c r="H244" s="20" t="s">
        <v>389</v>
      </c>
      <c r="I244" s="19" t="s">
        <v>65</v>
      </c>
      <c r="J244" s="20"/>
      <c r="K244" s="21" t="s">
        <v>394</v>
      </c>
    </row>
    <row r="245" spans="2:11" ht="13.5" customHeight="1">
      <c r="B245" s="20">
        <v>241</v>
      </c>
      <c r="C245" s="19" t="s">
        <v>327</v>
      </c>
      <c r="D245" s="19" t="s">
        <v>115</v>
      </c>
      <c r="E245" s="20" t="s">
        <v>73</v>
      </c>
      <c r="F245" s="19" t="s">
        <v>338</v>
      </c>
      <c r="G245" s="19" t="s">
        <v>337</v>
      </c>
      <c r="H245" s="20" t="s">
        <v>389</v>
      </c>
      <c r="I245" s="19" t="s">
        <v>65</v>
      </c>
      <c r="J245" s="20"/>
      <c r="K245" s="21" t="s">
        <v>394</v>
      </c>
    </row>
    <row r="246" spans="2:11" ht="13.5" customHeight="1">
      <c r="B246" s="20">
        <v>242</v>
      </c>
      <c r="C246" s="19" t="s">
        <v>327</v>
      </c>
      <c r="D246" s="19" t="s">
        <v>115</v>
      </c>
      <c r="E246" s="20" t="s">
        <v>73</v>
      </c>
      <c r="F246" s="19" t="s">
        <v>339</v>
      </c>
      <c r="G246" s="19" t="s">
        <v>337</v>
      </c>
      <c r="H246" s="20" t="s">
        <v>389</v>
      </c>
      <c r="I246" s="19" t="s">
        <v>65</v>
      </c>
      <c r="J246" s="20"/>
      <c r="K246" s="21" t="s">
        <v>394</v>
      </c>
    </row>
    <row r="247" spans="2:11" ht="13.5" customHeight="1">
      <c r="B247" s="20">
        <v>243</v>
      </c>
      <c r="C247" s="19" t="s">
        <v>327</v>
      </c>
      <c r="D247" s="19" t="s">
        <v>115</v>
      </c>
      <c r="E247" s="20" t="s">
        <v>73</v>
      </c>
      <c r="F247" s="19" t="s">
        <v>340</v>
      </c>
      <c r="G247" s="19" t="s">
        <v>337</v>
      </c>
      <c r="H247" s="20" t="s">
        <v>389</v>
      </c>
      <c r="I247" s="19" t="s">
        <v>65</v>
      </c>
      <c r="J247" s="20"/>
      <c r="K247" s="21" t="s">
        <v>394</v>
      </c>
    </row>
    <row r="248" spans="2:11" ht="13.5" customHeight="1">
      <c r="B248" s="20">
        <v>244</v>
      </c>
      <c r="C248" s="19" t="s">
        <v>327</v>
      </c>
      <c r="D248" s="19" t="s">
        <v>115</v>
      </c>
      <c r="E248" s="20" t="s">
        <v>73</v>
      </c>
      <c r="F248" s="19" t="s">
        <v>341</v>
      </c>
      <c r="G248" s="19" t="s">
        <v>337</v>
      </c>
      <c r="H248" s="20" t="s">
        <v>389</v>
      </c>
      <c r="I248" s="19" t="s">
        <v>65</v>
      </c>
      <c r="J248" s="20"/>
      <c r="K248" s="21" t="s">
        <v>394</v>
      </c>
    </row>
    <row r="249" spans="2:11" ht="13.5" customHeight="1">
      <c r="B249" s="20">
        <v>245</v>
      </c>
      <c r="C249" s="19" t="s">
        <v>327</v>
      </c>
      <c r="D249" s="19" t="s">
        <v>115</v>
      </c>
      <c r="E249" s="20" t="s">
        <v>73</v>
      </c>
      <c r="F249" s="19" t="s">
        <v>342</v>
      </c>
      <c r="G249" s="19" t="s">
        <v>337</v>
      </c>
      <c r="H249" s="20" t="s">
        <v>389</v>
      </c>
      <c r="I249" s="19" t="s">
        <v>65</v>
      </c>
      <c r="J249" s="20"/>
      <c r="K249" s="21" t="s">
        <v>394</v>
      </c>
    </row>
    <row r="250" spans="2:11" ht="13.5" customHeight="1">
      <c r="B250" s="20">
        <v>246</v>
      </c>
      <c r="C250" s="19" t="s">
        <v>327</v>
      </c>
      <c r="D250" s="19" t="s">
        <v>115</v>
      </c>
      <c r="E250" s="20" t="s">
        <v>73</v>
      </c>
      <c r="F250" s="19" t="s">
        <v>343</v>
      </c>
      <c r="G250" s="19" t="s">
        <v>337</v>
      </c>
      <c r="H250" s="20" t="s">
        <v>389</v>
      </c>
      <c r="I250" s="19" t="s">
        <v>65</v>
      </c>
      <c r="J250" s="20"/>
      <c r="K250" s="21" t="s">
        <v>394</v>
      </c>
    </row>
    <row r="251" spans="2:11" ht="13.5" customHeight="1">
      <c r="B251" s="20">
        <v>247</v>
      </c>
      <c r="C251" s="19" t="s">
        <v>327</v>
      </c>
      <c r="D251" s="19" t="s">
        <v>115</v>
      </c>
      <c r="E251" s="20" t="s">
        <v>73</v>
      </c>
      <c r="F251" s="19" t="s">
        <v>344</v>
      </c>
      <c r="G251" s="19" t="s">
        <v>337</v>
      </c>
      <c r="H251" s="20" t="s">
        <v>389</v>
      </c>
      <c r="I251" s="19" t="s">
        <v>65</v>
      </c>
      <c r="J251" s="20"/>
      <c r="K251" s="21" t="s">
        <v>394</v>
      </c>
    </row>
    <row r="252" spans="2:11" ht="13.5" customHeight="1">
      <c r="B252" s="20">
        <v>248</v>
      </c>
      <c r="C252" s="19" t="s">
        <v>327</v>
      </c>
      <c r="D252" s="19" t="s">
        <v>115</v>
      </c>
      <c r="E252" s="20" t="s">
        <v>73</v>
      </c>
      <c r="F252" s="19" t="s">
        <v>345</v>
      </c>
      <c r="G252" s="19" t="s">
        <v>337</v>
      </c>
      <c r="H252" s="20" t="s">
        <v>389</v>
      </c>
      <c r="I252" s="19" t="s">
        <v>65</v>
      </c>
      <c r="J252" s="20"/>
      <c r="K252" s="21" t="s">
        <v>394</v>
      </c>
    </row>
    <row r="253" spans="2:11" ht="13.5" customHeight="1">
      <c r="B253" s="20">
        <v>249</v>
      </c>
      <c r="C253" s="19" t="s">
        <v>327</v>
      </c>
      <c r="D253" s="19" t="s">
        <v>115</v>
      </c>
      <c r="E253" s="20" t="s">
        <v>73</v>
      </c>
      <c r="F253" s="19" t="s">
        <v>346</v>
      </c>
      <c r="G253" s="19" t="s">
        <v>337</v>
      </c>
      <c r="H253" s="20" t="s">
        <v>389</v>
      </c>
      <c r="I253" s="19" t="s">
        <v>65</v>
      </c>
      <c r="J253" s="20"/>
      <c r="K253" s="21" t="s">
        <v>394</v>
      </c>
    </row>
    <row r="254" spans="2:11" ht="13.5" customHeight="1">
      <c r="B254" s="20">
        <v>250</v>
      </c>
      <c r="C254" s="19" t="s">
        <v>327</v>
      </c>
      <c r="D254" s="19" t="s">
        <v>115</v>
      </c>
      <c r="E254" s="20" t="s">
        <v>73</v>
      </c>
      <c r="F254" s="19" t="s">
        <v>347</v>
      </c>
      <c r="G254" s="19" t="s">
        <v>337</v>
      </c>
      <c r="H254" s="20" t="s">
        <v>389</v>
      </c>
      <c r="I254" s="19" t="s">
        <v>65</v>
      </c>
      <c r="J254" s="20"/>
      <c r="K254" s="21" t="s">
        <v>394</v>
      </c>
    </row>
    <row r="255" spans="2:11" ht="13.5" customHeight="1">
      <c r="B255" s="20">
        <v>251</v>
      </c>
      <c r="C255" s="19" t="s">
        <v>327</v>
      </c>
      <c r="D255" s="20" t="s">
        <v>348</v>
      </c>
      <c r="E255" s="20" t="s">
        <v>73</v>
      </c>
      <c r="F255" s="25" t="s">
        <v>349</v>
      </c>
      <c r="G255" s="19" t="s">
        <v>337</v>
      </c>
      <c r="H255" s="20" t="s">
        <v>389</v>
      </c>
      <c r="I255" s="19" t="s">
        <v>65</v>
      </c>
      <c r="J255" s="20"/>
      <c r="K255" s="21" t="s">
        <v>394</v>
      </c>
    </row>
    <row r="256" spans="2:11" ht="13.5" customHeight="1">
      <c r="B256" s="20">
        <v>252</v>
      </c>
      <c r="C256" s="19" t="s">
        <v>327</v>
      </c>
      <c r="D256" s="20" t="s">
        <v>348</v>
      </c>
      <c r="E256" s="20" t="s">
        <v>73</v>
      </c>
      <c r="F256" s="25" t="s">
        <v>350</v>
      </c>
      <c r="G256" s="19" t="s">
        <v>337</v>
      </c>
      <c r="H256" s="20" t="s">
        <v>389</v>
      </c>
      <c r="I256" s="19" t="s">
        <v>65</v>
      </c>
      <c r="J256" s="20"/>
      <c r="K256" s="21" t="s">
        <v>394</v>
      </c>
    </row>
    <row r="257" spans="2:11" ht="13.5" customHeight="1">
      <c r="B257" s="20">
        <v>253</v>
      </c>
      <c r="C257" s="19" t="s">
        <v>327</v>
      </c>
      <c r="D257" s="20" t="s">
        <v>348</v>
      </c>
      <c r="E257" s="20" t="s">
        <v>73</v>
      </c>
      <c r="F257" s="25" t="s">
        <v>351</v>
      </c>
      <c r="G257" s="19" t="s">
        <v>337</v>
      </c>
      <c r="H257" s="20" t="s">
        <v>389</v>
      </c>
      <c r="I257" s="19" t="s">
        <v>65</v>
      </c>
      <c r="J257" s="20"/>
      <c r="K257" s="21" t="s">
        <v>394</v>
      </c>
    </row>
    <row r="258" spans="2:11" ht="13.5" customHeight="1">
      <c r="B258" s="20">
        <v>254</v>
      </c>
      <c r="C258" s="19" t="s">
        <v>327</v>
      </c>
      <c r="D258" s="20" t="s">
        <v>348</v>
      </c>
      <c r="E258" s="20" t="s">
        <v>73</v>
      </c>
      <c r="F258" s="25" t="s">
        <v>352</v>
      </c>
      <c r="G258" s="19" t="s">
        <v>337</v>
      </c>
      <c r="H258" s="20" t="s">
        <v>389</v>
      </c>
      <c r="I258" s="19" t="s">
        <v>65</v>
      </c>
      <c r="J258" s="20"/>
      <c r="K258" s="21" t="s">
        <v>394</v>
      </c>
    </row>
    <row r="259" spans="2:11" ht="13.5" customHeight="1">
      <c r="B259" s="20">
        <v>255</v>
      </c>
      <c r="C259" s="19" t="s">
        <v>327</v>
      </c>
      <c r="D259" s="20" t="s">
        <v>348</v>
      </c>
      <c r="E259" s="20" t="s">
        <v>73</v>
      </c>
      <c r="F259" s="25" t="s">
        <v>353</v>
      </c>
      <c r="G259" s="19" t="s">
        <v>337</v>
      </c>
      <c r="H259" s="20" t="s">
        <v>389</v>
      </c>
      <c r="I259" s="19" t="s">
        <v>65</v>
      </c>
      <c r="J259" s="20"/>
      <c r="K259" s="21" t="s">
        <v>394</v>
      </c>
    </row>
    <row r="260" spans="2:11" ht="13.5" customHeight="1">
      <c r="B260" s="20">
        <v>256</v>
      </c>
      <c r="C260" s="19" t="s">
        <v>327</v>
      </c>
      <c r="D260" s="20" t="s">
        <v>348</v>
      </c>
      <c r="E260" s="20" t="s">
        <v>73</v>
      </c>
      <c r="F260" s="25" t="s">
        <v>354</v>
      </c>
      <c r="G260" s="19" t="s">
        <v>337</v>
      </c>
      <c r="H260" s="20" t="s">
        <v>389</v>
      </c>
      <c r="I260" s="19" t="s">
        <v>65</v>
      </c>
      <c r="J260" s="20"/>
      <c r="K260" s="21" t="s">
        <v>394</v>
      </c>
    </row>
    <row r="261" spans="2:11" ht="13.5" customHeight="1">
      <c r="B261" s="20">
        <v>257</v>
      </c>
      <c r="C261" s="19" t="s">
        <v>327</v>
      </c>
      <c r="D261" s="20" t="s">
        <v>348</v>
      </c>
      <c r="E261" s="20" t="s">
        <v>73</v>
      </c>
      <c r="F261" s="25" t="s">
        <v>355</v>
      </c>
      <c r="G261" s="19" t="s">
        <v>337</v>
      </c>
      <c r="H261" s="20" t="s">
        <v>389</v>
      </c>
      <c r="I261" s="19" t="s">
        <v>65</v>
      </c>
      <c r="J261" s="20"/>
      <c r="K261" s="21" t="s">
        <v>394</v>
      </c>
    </row>
    <row r="262" spans="2:11" ht="13.5" customHeight="1">
      <c r="B262" s="20">
        <v>258</v>
      </c>
      <c r="C262" s="19" t="s">
        <v>327</v>
      </c>
      <c r="D262" s="20" t="s">
        <v>348</v>
      </c>
      <c r="E262" s="20" t="s">
        <v>73</v>
      </c>
      <c r="F262" s="25" t="s">
        <v>356</v>
      </c>
      <c r="G262" s="19" t="s">
        <v>337</v>
      </c>
      <c r="H262" s="20" t="s">
        <v>389</v>
      </c>
      <c r="I262" s="19" t="s">
        <v>65</v>
      </c>
      <c r="J262" s="20"/>
      <c r="K262" s="21" t="s">
        <v>394</v>
      </c>
    </row>
    <row r="263" spans="2:11" ht="13.5" customHeight="1">
      <c r="B263" s="20">
        <v>259</v>
      </c>
      <c r="C263" s="19" t="s">
        <v>327</v>
      </c>
      <c r="D263" s="20" t="s">
        <v>348</v>
      </c>
      <c r="E263" s="20" t="s">
        <v>73</v>
      </c>
      <c r="F263" s="25" t="s">
        <v>357</v>
      </c>
      <c r="G263" s="19" t="s">
        <v>337</v>
      </c>
      <c r="H263" s="20" t="s">
        <v>389</v>
      </c>
      <c r="I263" s="19" t="s">
        <v>65</v>
      </c>
      <c r="J263" s="20"/>
      <c r="K263" s="21" t="s">
        <v>394</v>
      </c>
    </row>
    <row r="264" spans="2:11" ht="13.5" customHeight="1">
      <c r="B264" s="20">
        <v>260</v>
      </c>
      <c r="C264" s="19" t="s">
        <v>327</v>
      </c>
      <c r="D264" s="20" t="s">
        <v>348</v>
      </c>
      <c r="E264" s="20" t="s">
        <v>73</v>
      </c>
      <c r="F264" s="25" t="s">
        <v>358</v>
      </c>
      <c r="G264" s="19" t="s">
        <v>337</v>
      </c>
      <c r="H264" s="20" t="s">
        <v>389</v>
      </c>
      <c r="I264" s="19" t="s">
        <v>65</v>
      </c>
      <c r="J264" s="20"/>
      <c r="K264" s="21" t="s">
        <v>394</v>
      </c>
    </row>
    <row r="265" spans="2:11" ht="13.5" customHeight="1">
      <c r="B265" s="20">
        <v>261</v>
      </c>
      <c r="C265" s="19" t="s">
        <v>327</v>
      </c>
      <c r="D265" s="20" t="s">
        <v>348</v>
      </c>
      <c r="E265" s="20" t="s">
        <v>73</v>
      </c>
      <c r="F265" s="25" t="s">
        <v>359</v>
      </c>
      <c r="G265" s="19" t="s">
        <v>337</v>
      </c>
      <c r="H265" s="20" t="s">
        <v>389</v>
      </c>
      <c r="I265" s="19" t="s">
        <v>65</v>
      </c>
      <c r="J265" s="20"/>
      <c r="K265" s="21" t="s">
        <v>394</v>
      </c>
    </row>
    <row r="266" spans="2:11" ht="13.5" customHeight="1">
      <c r="B266" s="20">
        <v>262</v>
      </c>
      <c r="C266" s="19" t="s">
        <v>327</v>
      </c>
      <c r="D266" s="20" t="s">
        <v>348</v>
      </c>
      <c r="E266" s="20" t="s">
        <v>73</v>
      </c>
      <c r="F266" s="25" t="s">
        <v>360</v>
      </c>
      <c r="G266" s="19" t="s">
        <v>337</v>
      </c>
      <c r="H266" s="20" t="s">
        <v>389</v>
      </c>
      <c r="I266" s="19" t="s">
        <v>65</v>
      </c>
      <c r="J266" s="20"/>
      <c r="K266" s="21" t="s">
        <v>394</v>
      </c>
    </row>
    <row r="267" spans="2:11" ht="13.5" customHeight="1">
      <c r="B267" s="20">
        <v>263</v>
      </c>
      <c r="C267" s="19" t="s">
        <v>327</v>
      </c>
      <c r="D267" s="20" t="s">
        <v>348</v>
      </c>
      <c r="E267" s="20" t="s">
        <v>73</v>
      </c>
      <c r="F267" s="25" t="s">
        <v>361</v>
      </c>
      <c r="G267" s="19" t="s">
        <v>337</v>
      </c>
      <c r="H267" s="20" t="s">
        <v>389</v>
      </c>
      <c r="I267" s="19" t="s">
        <v>65</v>
      </c>
      <c r="J267" s="20"/>
      <c r="K267" s="21" t="s">
        <v>394</v>
      </c>
    </row>
    <row r="268" spans="2:11" ht="13.5" customHeight="1">
      <c r="B268" s="20">
        <v>264</v>
      </c>
      <c r="C268" s="19" t="s">
        <v>327</v>
      </c>
      <c r="D268" s="20" t="s">
        <v>348</v>
      </c>
      <c r="E268" s="20" t="s">
        <v>73</v>
      </c>
      <c r="F268" s="25" t="s">
        <v>362</v>
      </c>
      <c r="G268" s="19" t="s">
        <v>337</v>
      </c>
      <c r="H268" s="20" t="s">
        <v>389</v>
      </c>
      <c r="I268" s="19" t="s">
        <v>65</v>
      </c>
      <c r="J268" s="20"/>
      <c r="K268" s="21" t="s">
        <v>394</v>
      </c>
    </row>
    <row r="269" spans="2:11" ht="13.5" customHeight="1">
      <c r="B269" s="20">
        <v>265</v>
      </c>
      <c r="C269" s="19" t="s">
        <v>327</v>
      </c>
      <c r="D269" s="20" t="s">
        <v>348</v>
      </c>
      <c r="E269" s="20" t="s">
        <v>73</v>
      </c>
      <c r="F269" s="25" t="s">
        <v>363</v>
      </c>
      <c r="G269" s="19" t="s">
        <v>337</v>
      </c>
      <c r="H269" s="20" t="s">
        <v>389</v>
      </c>
      <c r="I269" s="19" t="s">
        <v>65</v>
      </c>
      <c r="J269" s="20"/>
      <c r="K269" s="21" t="s">
        <v>394</v>
      </c>
    </row>
    <row r="270" spans="2:11" ht="13.5" customHeight="1">
      <c r="B270" s="20">
        <v>266</v>
      </c>
      <c r="C270" s="19" t="s">
        <v>327</v>
      </c>
      <c r="D270" s="20" t="s">
        <v>348</v>
      </c>
      <c r="E270" s="20" t="s">
        <v>73</v>
      </c>
      <c r="F270" s="25" t="s">
        <v>364</v>
      </c>
      <c r="G270" s="19" t="s">
        <v>337</v>
      </c>
      <c r="H270" s="20" t="s">
        <v>389</v>
      </c>
      <c r="I270" s="19" t="s">
        <v>65</v>
      </c>
      <c r="J270" s="20"/>
      <c r="K270" s="21" t="s">
        <v>394</v>
      </c>
    </row>
    <row r="271" spans="2:11" ht="13.5" customHeight="1">
      <c r="B271" s="20">
        <v>267</v>
      </c>
      <c r="C271" s="19" t="s">
        <v>327</v>
      </c>
      <c r="D271" s="20" t="s">
        <v>348</v>
      </c>
      <c r="E271" s="20" t="s">
        <v>73</v>
      </c>
      <c r="F271" s="25" t="s">
        <v>365</v>
      </c>
      <c r="G271" s="19" t="s">
        <v>337</v>
      </c>
      <c r="H271" s="20" t="s">
        <v>389</v>
      </c>
      <c r="I271" s="19" t="s">
        <v>65</v>
      </c>
      <c r="J271" s="20"/>
      <c r="K271" s="21" t="s">
        <v>394</v>
      </c>
    </row>
    <row r="272" spans="2:11" ht="13.5" customHeight="1">
      <c r="B272" s="20">
        <v>268</v>
      </c>
      <c r="C272" s="19" t="s">
        <v>327</v>
      </c>
      <c r="D272" s="20" t="s">
        <v>348</v>
      </c>
      <c r="E272" s="20" t="s">
        <v>73</v>
      </c>
      <c r="F272" s="25" t="s">
        <v>366</v>
      </c>
      <c r="G272" s="19" t="s">
        <v>337</v>
      </c>
      <c r="H272" s="20" t="s">
        <v>389</v>
      </c>
      <c r="I272" s="19" t="s">
        <v>65</v>
      </c>
      <c r="J272" s="20"/>
      <c r="K272" s="21" t="s">
        <v>394</v>
      </c>
    </row>
    <row r="273" spans="2:11" ht="13.5" customHeight="1">
      <c r="B273" s="20">
        <v>269</v>
      </c>
      <c r="C273" s="19" t="s">
        <v>327</v>
      </c>
      <c r="D273" s="20" t="s">
        <v>348</v>
      </c>
      <c r="E273" s="20" t="s">
        <v>73</v>
      </c>
      <c r="F273" s="25" t="s">
        <v>367</v>
      </c>
      <c r="G273" s="19" t="s">
        <v>337</v>
      </c>
      <c r="H273" s="20" t="s">
        <v>389</v>
      </c>
      <c r="I273" s="19" t="s">
        <v>65</v>
      </c>
      <c r="J273" s="20"/>
      <c r="K273" s="21" t="s">
        <v>394</v>
      </c>
    </row>
    <row r="274" spans="2:11" ht="13.5" customHeight="1">
      <c r="B274" s="20">
        <v>270</v>
      </c>
      <c r="C274" s="19" t="s">
        <v>327</v>
      </c>
      <c r="D274" s="20" t="s">
        <v>348</v>
      </c>
      <c r="E274" s="20" t="s">
        <v>73</v>
      </c>
      <c r="F274" s="25" t="s">
        <v>368</v>
      </c>
      <c r="G274" s="19" t="s">
        <v>337</v>
      </c>
      <c r="H274" s="20" t="s">
        <v>389</v>
      </c>
      <c r="I274" s="19" t="s">
        <v>65</v>
      </c>
      <c r="J274" s="20"/>
      <c r="K274" s="21" t="s">
        <v>394</v>
      </c>
    </row>
    <row r="275" spans="2:11" ht="13.5" customHeight="1">
      <c r="B275" s="20">
        <v>271</v>
      </c>
      <c r="C275" s="19" t="s">
        <v>327</v>
      </c>
      <c r="D275" s="20" t="s">
        <v>348</v>
      </c>
      <c r="E275" s="20" t="s">
        <v>73</v>
      </c>
      <c r="F275" s="25" t="s">
        <v>369</v>
      </c>
      <c r="G275" s="19" t="s">
        <v>337</v>
      </c>
      <c r="H275" s="20" t="s">
        <v>389</v>
      </c>
      <c r="I275" s="19" t="s">
        <v>65</v>
      </c>
      <c r="J275" s="20"/>
      <c r="K275" s="21" t="s">
        <v>394</v>
      </c>
    </row>
    <row r="276" spans="2:11" ht="13.5" customHeight="1">
      <c r="B276" s="20">
        <v>272</v>
      </c>
      <c r="C276" s="19" t="s">
        <v>327</v>
      </c>
      <c r="D276" s="20" t="s">
        <v>348</v>
      </c>
      <c r="E276" s="20" t="s">
        <v>73</v>
      </c>
      <c r="F276" s="25" t="s">
        <v>370</v>
      </c>
      <c r="G276" s="19" t="s">
        <v>337</v>
      </c>
      <c r="H276" s="20" t="s">
        <v>389</v>
      </c>
      <c r="I276" s="19" t="s">
        <v>65</v>
      </c>
      <c r="J276" s="20"/>
      <c r="K276" s="21" t="s">
        <v>394</v>
      </c>
    </row>
    <row r="277" spans="2:11" ht="13.5" customHeight="1">
      <c r="B277" s="20">
        <v>273</v>
      </c>
      <c r="C277" s="19" t="s">
        <v>327</v>
      </c>
      <c r="D277" s="20" t="s">
        <v>348</v>
      </c>
      <c r="E277" s="20" t="s">
        <v>73</v>
      </c>
      <c r="F277" s="25" t="s">
        <v>371</v>
      </c>
      <c r="G277" s="19" t="s">
        <v>337</v>
      </c>
      <c r="H277" s="20" t="s">
        <v>389</v>
      </c>
      <c r="I277" s="19" t="s">
        <v>65</v>
      </c>
      <c r="J277" s="20"/>
      <c r="K277" s="21" t="s">
        <v>394</v>
      </c>
    </row>
    <row r="278" spans="2:11" ht="13.5" customHeight="1">
      <c r="B278" s="20">
        <v>274</v>
      </c>
      <c r="C278" s="19" t="s">
        <v>327</v>
      </c>
      <c r="D278" s="20" t="s">
        <v>348</v>
      </c>
      <c r="E278" s="20" t="s">
        <v>73</v>
      </c>
      <c r="F278" s="25" t="s">
        <v>372</v>
      </c>
      <c r="G278" s="19" t="s">
        <v>337</v>
      </c>
      <c r="H278" s="20" t="s">
        <v>389</v>
      </c>
      <c r="I278" s="19" t="s">
        <v>65</v>
      </c>
      <c r="J278" s="20"/>
      <c r="K278" s="21" t="s">
        <v>394</v>
      </c>
    </row>
    <row r="279" spans="2:11" ht="13.5" customHeight="1">
      <c r="B279" s="20">
        <v>275</v>
      </c>
      <c r="C279" s="19" t="s">
        <v>327</v>
      </c>
      <c r="D279" s="20" t="s">
        <v>348</v>
      </c>
      <c r="E279" s="20" t="s">
        <v>73</v>
      </c>
      <c r="F279" s="25" t="s">
        <v>373</v>
      </c>
      <c r="G279" s="19" t="s">
        <v>337</v>
      </c>
      <c r="H279" s="20" t="s">
        <v>389</v>
      </c>
      <c r="I279" s="19" t="s">
        <v>65</v>
      </c>
      <c r="J279" s="20"/>
      <c r="K279" s="21" t="s">
        <v>394</v>
      </c>
    </row>
    <row r="280" spans="2:11" ht="13.5" customHeight="1">
      <c r="B280" s="20">
        <v>276</v>
      </c>
      <c r="C280" s="19" t="s">
        <v>327</v>
      </c>
      <c r="D280" s="20" t="s">
        <v>348</v>
      </c>
      <c r="E280" s="20" t="s">
        <v>73</v>
      </c>
      <c r="F280" s="25" t="s">
        <v>374</v>
      </c>
      <c r="G280" s="19" t="s">
        <v>337</v>
      </c>
      <c r="H280" s="20" t="s">
        <v>389</v>
      </c>
      <c r="I280" s="19" t="s">
        <v>65</v>
      </c>
      <c r="J280" s="20"/>
      <c r="K280" s="21" t="s">
        <v>394</v>
      </c>
    </row>
    <row r="281" spans="2:11" ht="13.5" customHeight="1">
      <c r="B281" s="20">
        <v>277</v>
      </c>
      <c r="C281" s="19" t="s">
        <v>327</v>
      </c>
      <c r="D281" s="20" t="s">
        <v>348</v>
      </c>
      <c r="E281" s="20" t="s">
        <v>73</v>
      </c>
      <c r="F281" s="25" t="s">
        <v>375</v>
      </c>
      <c r="G281" s="19" t="s">
        <v>337</v>
      </c>
      <c r="H281" s="20" t="s">
        <v>389</v>
      </c>
      <c r="I281" s="19" t="s">
        <v>65</v>
      </c>
      <c r="J281" s="20"/>
      <c r="K281" s="21" t="s">
        <v>394</v>
      </c>
    </row>
    <row r="282" spans="2:11" ht="13.5" customHeight="1">
      <c r="B282" s="20">
        <v>278</v>
      </c>
      <c r="C282" s="19" t="s">
        <v>327</v>
      </c>
      <c r="D282" s="20" t="s">
        <v>348</v>
      </c>
      <c r="E282" s="20" t="s">
        <v>73</v>
      </c>
      <c r="F282" s="25" t="s">
        <v>376</v>
      </c>
      <c r="G282" s="19" t="s">
        <v>337</v>
      </c>
      <c r="H282" s="20" t="s">
        <v>389</v>
      </c>
      <c r="I282" s="19" t="s">
        <v>65</v>
      </c>
      <c r="J282" s="20"/>
      <c r="K282" s="21" t="s">
        <v>394</v>
      </c>
    </row>
    <row r="283" spans="2:11" ht="13.5" customHeight="1">
      <c r="B283" s="20">
        <v>279</v>
      </c>
      <c r="C283" s="19" t="s">
        <v>327</v>
      </c>
      <c r="D283" s="20" t="s">
        <v>348</v>
      </c>
      <c r="E283" s="20" t="s">
        <v>73</v>
      </c>
      <c r="F283" s="25" t="s">
        <v>377</v>
      </c>
      <c r="G283" s="19" t="s">
        <v>337</v>
      </c>
      <c r="H283" s="20" t="s">
        <v>389</v>
      </c>
      <c r="I283" s="19" t="s">
        <v>65</v>
      </c>
      <c r="J283" s="20"/>
      <c r="K283" s="21" t="s">
        <v>394</v>
      </c>
    </row>
    <row r="284" spans="2:11" ht="13.5" customHeight="1">
      <c r="B284" s="20">
        <v>280</v>
      </c>
      <c r="C284" s="19" t="s">
        <v>327</v>
      </c>
      <c r="D284" s="20" t="s">
        <v>348</v>
      </c>
      <c r="E284" s="20" t="s">
        <v>73</v>
      </c>
      <c r="F284" s="25" t="s">
        <v>378</v>
      </c>
      <c r="G284" s="19" t="s">
        <v>337</v>
      </c>
      <c r="H284" s="20" t="s">
        <v>389</v>
      </c>
      <c r="I284" s="19" t="s">
        <v>65</v>
      </c>
      <c r="J284" s="20"/>
      <c r="K284" s="21" t="s">
        <v>394</v>
      </c>
    </row>
    <row r="285" spans="2:11" ht="13.5" customHeight="1">
      <c r="B285" s="20">
        <v>281</v>
      </c>
      <c r="C285" s="19" t="s">
        <v>327</v>
      </c>
      <c r="D285" s="20" t="s">
        <v>348</v>
      </c>
      <c r="E285" s="20" t="s">
        <v>73</v>
      </c>
      <c r="F285" s="25" t="s">
        <v>379</v>
      </c>
      <c r="G285" s="19" t="s">
        <v>337</v>
      </c>
      <c r="H285" s="20" t="s">
        <v>389</v>
      </c>
      <c r="I285" s="19" t="s">
        <v>65</v>
      </c>
      <c r="J285" s="20"/>
      <c r="K285" s="21" t="s">
        <v>394</v>
      </c>
    </row>
    <row r="286" spans="2:11" ht="13.5" customHeight="1">
      <c r="B286" s="20">
        <v>282</v>
      </c>
      <c r="C286" s="19" t="s">
        <v>327</v>
      </c>
      <c r="D286" s="20" t="s">
        <v>348</v>
      </c>
      <c r="E286" s="20" t="s">
        <v>73</v>
      </c>
      <c r="F286" s="25" t="s">
        <v>380</v>
      </c>
      <c r="G286" s="19" t="s">
        <v>337</v>
      </c>
      <c r="H286" s="20" t="s">
        <v>389</v>
      </c>
      <c r="I286" s="19" t="s">
        <v>65</v>
      </c>
      <c r="J286" s="20"/>
      <c r="K286" s="21" t="s">
        <v>394</v>
      </c>
    </row>
    <row r="287" spans="2:11" ht="13.5" customHeight="1">
      <c r="B287" s="20">
        <v>283</v>
      </c>
      <c r="C287" s="19" t="s">
        <v>327</v>
      </c>
      <c r="D287" s="20" t="s">
        <v>348</v>
      </c>
      <c r="E287" s="20" t="s">
        <v>73</v>
      </c>
      <c r="F287" s="25" t="s">
        <v>381</v>
      </c>
      <c r="G287" s="19" t="s">
        <v>337</v>
      </c>
      <c r="H287" s="20" t="s">
        <v>389</v>
      </c>
      <c r="I287" s="19" t="s">
        <v>65</v>
      </c>
      <c r="J287" s="20"/>
      <c r="K287" s="21" t="s">
        <v>394</v>
      </c>
    </row>
    <row r="288" spans="2:11" ht="13.5" customHeight="1">
      <c r="B288" s="20">
        <v>284</v>
      </c>
      <c r="C288" s="19" t="s">
        <v>327</v>
      </c>
      <c r="D288" s="20" t="s">
        <v>348</v>
      </c>
      <c r="E288" s="20" t="s">
        <v>73</v>
      </c>
      <c r="F288" s="25" t="s">
        <v>382</v>
      </c>
      <c r="G288" s="19" t="s">
        <v>337</v>
      </c>
      <c r="H288" s="20" t="s">
        <v>389</v>
      </c>
      <c r="I288" s="19" t="s">
        <v>65</v>
      </c>
      <c r="J288" s="20"/>
      <c r="K288" s="21" t="s">
        <v>394</v>
      </c>
    </row>
    <row r="289" spans="2:11" ht="13.5" customHeight="1">
      <c r="B289" s="20">
        <v>285</v>
      </c>
      <c r="C289" s="19" t="s">
        <v>327</v>
      </c>
      <c r="D289" s="20" t="s">
        <v>348</v>
      </c>
      <c r="E289" s="20" t="s">
        <v>73</v>
      </c>
      <c r="F289" s="25" t="s">
        <v>383</v>
      </c>
      <c r="G289" s="19" t="s">
        <v>337</v>
      </c>
      <c r="H289" s="20" t="s">
        <v>389</v>
      </c>
      <c r="I289" s="19" t="s">
        <v>65</v>
      </c>
      <c r="J289" s="20"/>
      <c r="K289" s="21" t="s">
        <v>394</v>
      </c>
    </row>
    <row r="290" spans="2:11" ht="13.5" customHeight="1">
      <c r="B290" s="20">
        <v>286</v>
      </c>
      <c r="C290" s="19" t="s">
        <v>327</v>
      </c>
      <c r="D290" s="20" t="s">
        <v>348</v>
      </c>
      <c r="E290" s="20" t="s">
        <v>73</v>
      </c>
      <c r="F290" s="25" t="s">
        <v>384</v>
      </c>
      <c r="G290" s="19" t="s">
        <v>337</v>
      </c>
      <c r="H290" s="20" t="s">
        <v>389</v>
      </c>
      <c r="I290" s="19" t="s">
        <v>65</v>
      </c>
      <c r="J290" s="20"/>
      <c r="K290" s="21" t="s">
        <v>394</v>
      </c>
    </row>
    <row r="291" spans="2:11" ht="13.5" customHeight="1">
      <c r="B291" s="20">
        <v>287</v>
      </c>
      <c r="C291" s="19" t="s">
        <v>327</v>
      </c>
      <c r="D291" s="20" t="s">
        <v>348</v>
      </c>
      <c r="E291" s="20" t="s">
        <v>73</v>
      </c>
      <c r="F291" s="25" t="s">
        <v>385</v>
      </c>
      <c r="G291" s="19" t="s">
        <v>337</v>
      </c>
      <c r="H291" s="20" t="s">
        <v>389</v>
      </c>
      <c r="I291" s="19" t="s">
        <v>65</v>
      </c>
      <c r="J291" s="20"/>
      <c r="K291" s="21" t="s">
        <v>394</v>
      </c>
    </row>
    <row r="292" spans="2:11" ht="13.5" customHeight="1">
      <c r="B292" s="20">
        <v>288</v>
      </c>
      <c r="C292" s="19" t="s">
        <v>327</v>
      </c>
      <c r="D292" s="20" t="s">
        <v>348</v>
      </c>
      <c r="E292" s="20" t="s">
        <v>73</v>
      </c>
      <c r="F292" s="25" t="s">
        <v>386</v>
      </c>
      <c r="G292" s="19" t="s">
        <v>337</v>
      </c>
      <c r="H292" s="20" t="s">
        <v>389</v>
      </c>
      <c r="I292" s="19" t="s">
        <v>65</v>
      </c>
      <c r="J292" s="20"/>
      <c r="K292" s="21" t="s">
        <v>394</v>
      </c>
    </row>
    <row r="293" spans="2:11" ht="13.5" customHeight="1">
      <c r="B293" s="20">
        <v>289</v>
      </c>
      <c r="C293" s="19" t="s">
        <v>327</v>
      </c>
      <c r="D293" s="20" t="s">
        <v>348</v>
      </c>
      <c r="E293" s="20" t="s">
        <v>73</v>
      </c>
      <c r="F293" s="25" t="s">
        <v>387</v>
      </c>
      <c r="G293" s="19" t="s">
        <v>337</v>
      </c>
      <c r="H293" s="20" t="s">
        <v>389</v>
      </c>
      <c r="I293" s="19" t="s">
        <v>65</v>
      </c>
      <c r="J293" s="20"/>
      <c r="K293" s="21" t="s">
        <v>394</v>
      </c>
    </row>
    <row r="294" spans="2:11" ht="13.5" customHeight="1">
      <c r="B294" s="20">
        <v>290</v>
      </c>
      <c r="C294" s="19" t="s">
        <v>327</v>
      </c>
      <c r="D294" s="20" t="s">
        <v>348</v>
      </c>
      <c r="E294" s="20" t="s">
        <v>73</v>
      </c>
      <c r="F294" s="25" t="s">
        <v>388</v>
      </c>
      <c r="G294" s="19" t="s">
        <v>337</v>
      </c>
      <c r="H294" s="20" t="s">
        <v>389</v>
      </c>
      <c r="I294" s="19" t="s">
        <v>65</v>
      </c>
      <c r="J294" s="20"/>
      <c r="K294" s="21" t="s">
        <v>394</v>
      </c>
    </row>
    <row r="295" spans="2:11" ht="13.5" customHeight="1"/>
  </sheetData>
  <autoFilter ref="B4:K294" xr:uid="{00000000-0009-0000-0000-000003000000}"/>
  <mergeCells count="2">
    <mergeCell ref="B1:K1"/>
    <mergeCell ref="B2:K2"/>
  </mergeCells>
  <phoneticPr fontId="15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I293"/>
  <sheetViews>
    <sheetView zoomScaleNormal="100" workbookViewId="0">
      <pane xSplit="1" ySplit="2" topLeftCell="B3" activePane="bottomRight" state="frozen"/>
      <selection pane="topRight" activeCell="B1" sqref="B1"/>
      <selection pane="bottomLeft" activeCell="A5" sqref="A5"/>
      <selection pane="bottomRight" activeCell="E286" sqref="E286"/>
    </sheetView>
  </sheetViews>
  <sheetFormatPr defaultColWidth="10.28515625" defaultRowHeight="15"/>
  <cols>
    <col min="1" max="1" width="11" style="4" customWidth="1"/>
    <col min="2" max="2" width="26.85546875" style="6" bestFit="1" customWidth="1"/>
    <col min="4" max="4" width="11.42578125" style="6" customWidth="1"/>
    <col min="5" max="5" width="28.42578125" style="4" customWidth="1"/>
    <col min="6" max="6" width="15.5703125" style="4" customWidth="1"/>
    <col min="7" max="7" width="17.28515625" style="4" customWidth="1"/>
    <col min="8" max="8" width="14.7109375" style="4" customWidth="1"/>
    <col min="9" max="9" width="10.28515625" style="48"/>
    <col min="10" max="16384" width="10.28515625" style="4"/>
  </cols>
  <sheetData>
    <row r="1" spans="1:9" ht="20.25" customHeight="1">
      <c r="B1" s="5">
        <f>SUBTOTAL(3,B3:B298)</f>
        <v>290</v>
      </c>
      <c r="C1" s="4"/>
    </row>
    <row r="2" spans="1:9" ht="13.5">
      <c r="A2" s="51" t="s">
        <v>507</v>
      </c>
      <c r="B2" s="8" t="s">
        <v>54</v>
      </c>
      <c r="C2" s="8" t="s">
        <v>321</v>
      </c>
      <c r="D2" s="8" t="s">
        <v>322</v>
      </c>
      <c r="E2" s="9" t="s">
        <v>57</v>
      </c>
      <c r="F2" s="9" t="s">
        <v>323</v>
      </c>
      <c r="G2" s="9" t="s">
        <v>324</v>
      </c>
      <c r="H2" s="9" t="s">
        <v>325</v>
      </c>
      <c r="I2" s="9" t="s">
        <v>59</v>
      </c>
    </row>
    <row r="3" spans="1:9" ht="12.75">
      <c r="A3" s="4" t="s">
        <v>14</v>
      </c>
      <c r="B3" s="12" t="s">
        <v>62</v>
      </c>
      <c r="C3" s="11" t="s">
        <v>15</v>
      </c>
      <c r="D3" s="12">
        <v>4</v>
      </c>
      <c r="E3" s="14" t="s">
        <v>318</v>
      </c>
      <c r="F3" s="11">
        <v>3</v>
      </c>
      <c r="G3" s="11">
        <v>4</v>
      </c>
      <c r="H3" s="11" t="s">
        <v>64</v>
      </c>
      <c r="I3" s="11"/>
    </row>
    <row r="4" spans="1:9" ht="12.75">
      <c r="A4" s="4" t="s">
        <v>14</v>
      </c>
      <c r="B4" s="12" t="s">
        <v>66</v>
      </c>
      <c r="C4" s="11" t="s">
        <v>15</v>
      </c>
      <c r="D4" s="12">
        <v>4</v>
      </c>
      <c r="E4" s="14" t="s">
        <v>318</v>
      </c>
      <c r="F4" s="11">
        <v>3</v>
      </c>
      <c r="G4" s="11">
        <v>4</v>
      </c>
      <c r="H4" s="11" t="s">
        <v>64</v>
      </c>
      <c r="I4" s="11"/>
    </row>
    <row r="5" spans="1:9" ht="12.75">
      <c r="A5" s="4" t="s">
        <v>14</v>
      </c>
      <c r="B5" s="12" t="s">
        <v>68</v>
      </c>
      <c r="C5" s="11" t="s">
        <v>19</v>
      </c>
      <c r="D5" s="12">
        <v>4</v>
      </c>
      <c r="E5" s="14" t="s">
        <v>318</v>
      </c>
      <c r="F5" s="11">
        <v>3</v>
      </c>
      <c r="G5" s="11">
        <v>5</v>
      </c>
      <c r="H5" s="11" t="s">
        <v>69</v>
      </c>
      <c r="I5" s="11"/>
    </row>
    <row r="6" spans="1:9" ht="12.75">
      <c r="A6" s="4" t="s">
        <v>14</v>
      </c>
      <c r="B6" s="12" t="s">
        <v>71</v>
      </c>
      <c r="C6" s="11" t="s">
        <v>19</v>
      </c>
      <c r="D6" s="12">
        <v>4</v>
      </c>
      <c r="E6" s="14" t="s">
        <v>318</v>
      </c>
      <c r="F6" s="11">
        <v>3</v>
      </c>
      <c r="G6" s="11">
        <v>5</v>
      </c>
      <c r="H6" s="11" t="s">
        <v>69</v>
      </c>
      <c r="I6" s="11"/>
    </row>
    <row r="7" spans="1:9" ht="12.75">
      <c r="A7" s="4" t="s">
        <v>14</v>
      </c>
      <c r="B7" s="12" t="s">
        <v>72</v>
      </c>
      <c r="C7" s="11" t="s">
        <v>19</v>
      </c>
      <c r="D7" s="12">
        <v>4</v>
      </c>
      <c r="E7" s="14" t="s">
        <v>318</v>
      </c>
      <c r="F7" s="11">
        <v>3</v>
      </c>
      <c r="G7" s="11">
        <v>5</v>
      </c>
      <c r="H7" s="11" t="s">
        <v>69</v>
      </c>
      <c r="I7" s="11"/>
    </row>
    <row r="8" spans="1:9" ht="12.75">
      <c r="A8" s="4" t="s">
        <v>14</v>
      </c>
      <c r="B8" s="12" t="s">
        <v>74</v>
      </c>
      <c r="C8" s="11" t="s">
        <v>37</v>
      </c>
      <c r="D8" s="12">
        <v>4</v>
      </c>
      <c r="E8" s="14" t="s">
        <v>318</v>
      </c>
      <c r="F8" s="11">
        <v>3</v>
      </c>
      <c r="G8" s="11">
        <v>5</v>
      </c>
      <c r="H8" s="11" t="s">
        <v>69</v>
      </c>
      <c r="I8" s="11"/>
    </row>
    <row r="9" spans="1:9" ht="12.75">
      <c r="A9" s="4" t="s">
        <v>14</v>
      </c>
      <c r="B9" s="12" t="s">
        <v>75</v>
      </c>
      <c r="C9" s="11" t="s">
        <v>37</v>
      </c>
      <c r="D9" s="12">
        <v>4</v>
      </c>
      <c r="E9" s="14" t="s">
        <v>318</v>
      </c>
      <c r="F9" s="11">
        <v>3</v>
      </c>
      <c r="G9" s="11">
        <v>5</v>
      </c>
      <c r="H9" s="11" t="s">
        <v>69</v>
      </c>
      <c r="I9" s="11"/>
    </row>
    <row r="10" spans="1:9" ht="12.75">
      <c r="A10" s="4" t="s">
        <v>14</v>
      </c>
      <c r="B10" s="14" t="s">
        <v>76</v>
      </c>
      <c r="C10" s="11" t="s">
        <v>37</v>
      </c>
      <c r="D10" s="12">
        <v>4</v>
      </c>
      <c r="E10" s="14" t="s">
        <v>318</v>
      </c>
      <c r="F10" s="11">
        <v>3</v>
      </c>
      <c r="G10" s="11">
        <v>5</v>
      </c>
      <c r="H10" s="11" t="s">
        <v>69</v>
      </c>
      <c r="I10" s="11"/>
    </row>
    <row r="11" spans="1:9" ht="12.75">
      <c r="A11" s="4" t="s">
        <v>14</v>
      </c>
      <c r="B11" s="14" t="s">
        <v>78</v>
      </c>
      <c r="C11" s="11" t="s">
        <v>38</v>
      </c>
      <c r="D11" s="12">
        <v>4</v>
      </c>
      <c r="E11" s="14" t="s">
        <v>318</v>
      </c>
      <c r="F11" s="11">
        <v>3</v>
      </c>
      <c r="G11" s="11">
        <v>5</v>
      </c>
      <c r="H11" s="11" t="s">
        <v>69</v>
      </c>
      <c r="I11" s="11"/>
    </row>
    <row r="12" spans="1:9" ht="12.75">
      <c r="A12" s="4" t="s">
        <v>14</v>
      </c>
      <c r="B12" s="14" t="s">
        <v>79</v>
      </c>
      <c r="C12" s="11" t="s">
        <v>38</v>
      </c>
      <c r="D12" s="12">
        <v>4</v>
      </c>
      <c r="E12" s="14" t="s">
        <v>318</v>
      </c>
      <c r="F12" s="11">
        <v>3</v>
      </c>
      <c r="G12" s="11">
        <v>5</v>
      </c>
      <c r="H12" s="11" t="s">
        <v>69</v>
      </c>
      <c r="I12" s="11"/>
    </row>
    <row r="13" spans="1:9" ht="12.75">
      <c r="A13" s="4" t="s">
        <v>14</v>
      </c>
      <c r="B13" s="14" t="s">
        <v>80</v>
      </c>
      <c r="C13" s="11" t="s">
        <v>38</v>
      </c>
      <c r="D13" s="12">
        <v>4</v>
      </c>
      <c r="E13" s="14" t="s">
        <v>318</v>
      </c>
      <c r="F13" s="11">
        <v>3</v>
      </c>
      <c r="G13" s="11">
        <v>5</v>
      </c>
      <c r="H13" s="11" t="s">
        <v>69</v>
      </c>
      <c r="I13" s="11"/>
    </row>
    <row r="14" spans="1:9" ht="12.75">
      <c r="A14" s="4" t="s">
        <v>20</v>
      </c>
      <c r="B14" s="14" t="s">
        <v>82</v>
      </c>
      <c r="C14" s="11" t="s">
        <v>15</v>
      </c>
      <c r="D14" s="12">
        <v>4</v>
      </c>
      <c r="E14" s="14" t="s">
        <v>318</v>
      </c>
      <c r="F14" s="11">
        <v>3</v>
      </c>
      <c r="G14" s="11">
        <v>4</v>
      </c>
      <c r="H14" s="11" t="s">
        <v>64</v>
      </c>
      <c r="I14" s="11"/>
    </row>
    <row r="15" spans="1:9" ht="12.75">
      <c r="A15" s="4" t="s">
        <v>20</v>
      </c>
      <c r="B15" s="14" t="s">
        <v>83</v>
      </c>
      <c r="C15" s="11" t="s">
        <v>15</v>
      </c>
      <c r="D15" s="12">
        <v>4</v>
      </c>
      <c r="E15" s="14" t="s">
        <v>318</v>
      </c>
      <c r="F15" s="11">
        <v>3</v>
      </c>
      <c r="G15" s="11">
        <v>4</v>
      </c>
      <c r="H15" s="11" t="s">
        <v>64</v>
      </c>
      <c r="I15" s="11"/>
    </row>
    <row r="16" spans="1:9" ht="12.75">
      <c r="A16" s="4" t="s">
        <v>20</v>
      </c>
      <c r="B16" s="14" t="s">
        <v>84</v>
      </c>
      <c r="C16" s="11" t="s">
        <v>15</v>
      </c>
      <c r="D16" s="12">
        <v>4</v>
      </c>
      <c r="E16" s="14" t="s">
        <v>318</v>
      </c>
      <c r="F16" s="11">
        <v>3</v>
      </c>
      <c r="G16" s="11">
        <v>4</v>
      </c>
      <c r="H16" s="11" t="s">
        <v>64</v>
      </c>
      <c r="I16" s="11"/>
    </row>
    <row r="17" spans="1:9" ht="12.75">
      <c r="A17" s="4" t="s">
        <v>20</v>
      </c>
      <c r="B17" s="14" t="s">
        <v>85</v>
      </c>
      <c r="C17" s="11" t="s">
        <v>15</v>
      </c>
      <c r="D17" s="12">
        <v>4</v>
      </c>
      <c r="E17" s="14" t="s">
        <v>318</v>
      </c>
      <c r="F17" s="11">
        <v>3</v>
      </c>
      <c r="G17" s="11">
        <v>4</v>
      </c>
      <c r="H17" s="11" t="s">
        <v>64</v>
      </c>
      <c r="I17" s="11"/>
    </row>
    <row r="18" spans="1:9" ht="12.75">
      <c r="A18" s="4" t="s">
        <v>20</v>
      </c>
      <c r="B18" s="14" t="s">
        <v>86</v>
      </c>
      <c r="C18" s="11" t="s">
        <v>19</v>
      </c>
      <c r="D18" s="12">
        <v>4</v>
      </c>
      <c r="E18" s="14" t="s">
        <v>318</v>
      </c>
      <c r="F18" s="11">
        <v>3</v>
      </c>
      <c r="G18" s="11">
        <v>5</v>
      </c>
      <c r="H18" s="11" t="s">
        <v>69</v>
      </c>
      <c r="I18" s="11"/>
    </row>
    <row r="19" spans="1:9" ht="12.75">
      <c r="A19" s="4" t="s">
        <v>20</v>
      </c>
      <c r="B19" s="14" t="s">
        <v>88</v>
      </c>
      <c r="C19" s="11" t="s">
        <v>19</v>
      </c>
      <c r="D19" s="12">
        <v>4</v>
      </c>
      <c r="E19" s="14" t="s">
        <v>318</v>
      </c>
      <c r="F19" s="11">
        <v>3</v>
      </c>
      <c r="G19" s="11">
        <v>5</v>
      </c>
      <c r="H19" s="11" t="s">
        <v>69</v>
      </c>
      <c r="I19" s="11"/>
    </row>
    <row r="20" spans="1:9" ht="12.75">
      <c r="A20" s="4" t="s">
        <v>20</v>
      </c>
      <c r="B20" s="14" t="s">
        <v>90</v>
      </c>
      <c r="C20" s="11" t="s">
        <v>19</v>
      </c>
      <c r="D20" s="12">
        <v>4</v>
      </c>
      <c r="E20" s="14" t="s">
        <v>318</v>
      </c>
      <c r="F20" s="11">
        <v>3</v>
      </c>
      <c r="G20" s="11">
        <v>5</v>
      </c>
      <c r="H20" s="11" t="s">
        <v>69</v>
      </c>
      <c r="I20" s="11"/>
    </row>
    <row r="21" spans="1:9" ht="12.75">
      <c r="A21" s="4" t="s">
        <v>20</v>
      </c>
      <c r="B21" s="14" t="s">
        <v>91</v>
      </c>
      <c r="C21" s="11" t="s">
        <v>37</v>
      </c>
      <c r="D21" s="12">
        <v>4</v>
      </c>
      <c r="E21" s="14" t="s">
        <v>318</v>
      </c>
      <c r="F21" s="11">
        <v>3</v>
      </c>
      <c r="G21" s="11">
        <v>5</v>
      </c>
      <c r="H21" s="11" t="s">
        <v>69</v>
      </c>
      <c r="I21" s="11"/>
    </row>
    <row r="22" spans="1:9" ht="12.75">
      <c r="A22" s="4" t="s">
        <v>20</v>
      </c>
      <c r="B22" s="14" t="s">
        <v>92</v>
      </c>
      <c r="C22" s="11" t="s">
        <v>37</v>
      </c>
      <c r="D22" s="12">
        <v>4</v>
      </c>
      <c r="E22" s="14" t="s">
        <v>318</v>
      </c>
      <c r="F22" s="11">
        <v>3</v>
      </c>
      <c r="G22" s="11">
        <v>5</v>
      </c>
      <c r="H22" s="11" t="s">
        <v>69</v>
      </c>
      <c r="I22" s="11"/>
    </row>
    <row r="23" spans="1:9" ht="12.75">
      <c r="A23" s="4" t="s">
        <v>20</v>
      </c>
      <c r="B23" s="14" t="s">
        <v>93</v>
      </c>
      <c r="C23" s="11" t="s">
        <v>37</v>
      </c>
      <c r="D23" s="12">
        <v>4</v>
      </c>
      <c r="E23" s="14" t="s">
        <v>318</v>
      </c>
      <c r="F23" s="11">
        <v>3</v>
      </c>
      <c r="G23" s="11">
        <v>5</v>
      </c>
      <c r="H23" s="11" t="s">
        <v>69</v>
      </c>
      <c r="I23" s="11"/>
    </row>
    <row r="24" spans="1:9" ht="12.75">
      <c r="A24" s="4" t="s">
        <v>20</v>
      </c>
      <c r="B24" s="14" t="s">
        <v>94</v>
      </c>
      <c r="C24" s="11" t="s">
        <v>37</v>
      </c>
      <c r="D24" s="12">
        <v>4</v>
      </c>
      <c r="E24" s="14" t="s">
        <v>318</v>
      </c>
      <c r="F24" s="11">
        <v>3</v>
      </c>
      <c r="G24" s="11">
        <v>5</v>
      </c>
      <c r="H24" s="11" t="s">
        <v>69</v>
      </c>
      <c r="I24" s="11"/>
    </row>
    <row r="25" spans="1:9" ht="12.75">
      <c r="A25" s="4" t="s">
        <v>20</v>
      </c>
      <c r="B25" s="14" t="s">
        <v>95</v>
      </c>
      <c r="C25" s="11" t="s">
        <v>37</v>
      </c>
      <c r="D25" s="12">
        <v>4</v>
      </c>
      <c r="E25" s="14" t="s">
        <v>318</v>
      </c>
      <c r="F25" s="11">
        <v>3</v>
      </c>
      <c r="G25" s="11">
        <v>5</v>
      </c>
      <c r="H25" s="11" t="s">
        <v>69</v>
      </c>
      <c r="I25" s="11"/>
    </row>
    <row r="26" spans="1:9" ht="12.75">
      <c r="A26" s="4" t="s">
        <v>20</v>
      </c>
      <c r="B26" s="14" t="s">
        <v>96</v>
      </c>
      <c r="C26" s="11" t="s">
        <v>38</v>
      </c>
      <c r="D26" s="12">
        <v>4</v>
      </c>
      <c r="E26" s="14" t="s">
        <v>318</v>
      </c>
      <c r="F26" s="11">
        <v>3</v>
      </c>
      <c r="G26" s="11">
        <v>5</v>
      </c>
      <c r="H26" s="11" t="s">
        <v>69</v>
      </c>
      <c r="I26" s="11"/>
    </row>
    <row r="27" spans="1:9" ht="12.75">
      <c r="A27" s="4" t="s">
        <v>20</v>
      </c>
      <c r="B27" s="14" t="s">
        <v>97</v>
      </c>
      <c r="C27" s="11" t="s">
        <v>38</v>
      </c>
      <c r="D27" s="12">
        <v>4</v>
      </c>
      <c r="E27" s="14" t="s">
        <v>318</v>
      </c>
      <c r="F27" s="11">
        <v>3</v>
      </c>
      <c r="G27" s="11">
        <v>5</v>
      </c>
      <c r="H27" s="11" t="s">
        <v>69</v>
      </c>
      <c r="I27" s="11"/>
    </row>
    <row r="28" spans="1:9" ht="12.75">
      <c r="A28" s="4" t="s">
        <v>20</v>
      </c>
      <c r="B28" s="14" t="s">
        <v>98</v>
      </c>
      <c r="C28" s="11" t="s">
        <v>38</v>
      </c>
      <c r="D28" s="12">
        <v>4</v>
      </c>
      <c r="E28" s="14" t="s">
        <v>318</v>
      </c>
      <c r="F28" s="11">
        <v>3</v>
      </c>
      <c r="G28" s="11">
        <v>5</v>
      </c>
      <c r="H28" s="11" t="s">
        <v>69</v>
      </c>
      <c r="I28" s="11"/>
    </row>
    <row r="29" spans="1:9" ht="12.75">
      <c r="A29" s="4" t="s">
        <v>23</v>
      </c>
      <c r="B29" s="14" t="s">
        <v>100</v>
      </c>
      <c r="C29" s="11" t="s">
        <v>15</v>
      </c>
      <c r="D29" s="12">
        <v>4</v>
      </c>
      <c r="E29" s="14" t="s">
        <v>318</v>
      </c>
      <c r="F29" s="11">
        <v>3</v>
      </c>
      <c r="G29" s="11">
        <v>4</v>
      </c>
      <c r="H29" s="11" t="s">
        <v>64</v>
      </c>
      <c r="I29" s="11"/>
    </row>
    <row r="30" spans="1:9" ht="12.75">
      <c r="A30" s="4" t="s">
        <v>23</v>
      </c>
      <c r="B30" s="14" t="s">
        <v>25</v>
      </c>
      <c r="C30" s="11" t="s">
        <v>15</v>
      </c>
      <c r="D30" s="12">
        <v>4</v>
      </c>
      <c r="E30" s="14" t="s">
        <v>318</v>
      </c>
      <c r="F30" s="11">
        <v>3</v>
      </c>
      <c r="G30" s="11">
        <v>4</v>
      </c>
      <c r="H30" s="11" t="s">
        <v>64</v>
      </c>
      <c r="I30" s="11"/>
    </row>
    <row r="31" spans="1:9" ht="12.75">
      <c r="A31" s="4" t="s">
        <v>23</v>
      </c>
      <c r="B31" s="14" t="s">
        <v>101</v>
      </c>
      <c r="C31" s="11" t="s">
        <v>15</v>
      </c>
      <c r="D31" s="12">
        <v>4</v>
      </c>
      <c r="E31" s="14" t="s">
        <v>318</v>
      </c>
      <c r="F31" s="11">
        <v>3</v>
      </c>
      <c r="G31" s="11">
        <v>4</v>
      </c>
      <c r="H31" s="11" t="s">
        <v>64</v>
      </c>
      <c r="I31" s="11"/>
    </row>
    <row r="32" spans="1:9" ht="12.75">
      <c r="A32" s="4" t="s">
        <v>23</v>
      </c>
      <c r="B32" s="14" t="s">
        <v>102</v>
      </c>
      <c r="C32" s="11" t="s">
        <v>15</v>
      </c>
      <c r="D32" s="12">
        <v>4</v>
      </c>
      <c r="E32" s="14" t="s">
        <v>318</v>
      </c>
      <c r="F32" s="11">
        <v>3</v>
      </c>
      <c r="G32" s="11">
        <v>4</v>
      </c>
      <c r="H32" s="11" t="s">
        <v>64</v>
      </c>
      <c r="I32" s="11"/>
    </row>
    <row r="33" spans="1:9" ht="12.75">
      <c r="A33" s="4" t="s">
        <v>23</v>
      </c>
      <c r="B33" s="14" t="s">
        <v>103</v>
      </c>
      <c r="C33" s="11" t="s">
        <v>19</v>
      </c>
      <c r="D33" s="12">
        <v>4</v>
      </c>
      <c r="E33" s="14" t="s">
        <v>318</v>
      </c>
      <c r="F33" s="11">
        <v>3</v>
      </c>
      <c r="G33" s="11">
        <v>5</v>
      </c>
      <c r="H33" s="11" t="s">
        <v>69</v>
      </c>
      <c r="I33" s="11"/>
    </row>
    <row r="34" spans="1:9" ht="12.75">
      <c r="A34" s="4" t="s">
        <v>23</v>
      </c>
      <c r="B34" s="14" t="s">
        <v>105</v>
      </c>
      <c r="C34" s="11" t="s">
        <v>19</v>
      </c>
      <c r="D34" s="12">
        <v>4</v>
      </c>
      <c r="E34" s="14" t="s">
        <v>318</v>
      </c>
      <c r="F34" s="11">
        <v>3</v>
      </c>
      <c r="G34" s="11">
        <v>5</v>
      </c>
      <c r="H34" s="11" t="s">
        <v>69</v>
      </c>
      <c r="I34" s="11"/>
    </row>
    <row r="35" spans="1:9" ht="12.75">
      <c r="A35" s="4" t="s">
        <v>23</v>
      </c>
      <c r="B35" s="14" t="s">
        <v>106</v>
      </c>
      <c r="C35" s="11" t="s">
        <v>19</v>
      </c>
      <c r="D35" s="12">
        <v>4</v>
      </c>
      <c r="E35" s="14" t="s">
        <v>318</v>
      </c>
      <c r="F35" s="11">
        <v>3</v>
      </c>
      <c r="G35" s="11">
        <v>5</v>
      </c>
      <c r="H35" s="11" t="s">
        <v>69</v>
      </c>
      <c r="I35" s="11"/>
    </row>
    <row r="36" spans="1:9" ht="12.75">
      <c r="A36" s="4" t="s">
        <v>23</v>
      </c>
      <c r="B36" s="14" t="s">
        <v>107</v>
      </c>
      <c r="C36" s="11" t="s">
        <v>37</v>
      </c>
      <c r="D36" s="12">
        <v>4</v>
      </c>
      <c r="E36" s="14" t="s">
        <v>318</v>
      </c>
      <c r="F36" s="11">
        <v>3</v>
      </c>
      <c r="G36" s="11">
        <v>5</v>
      </c>
      <c r="H36" s="11" t="s">
        <v>69</v>
      </c>
      <c r="I36" s="11"/>
    </row>
    <row r="37" spans="1:9" ht="12.75">
      <c r="A37" s="4" t="s">
        <v>23</v>
      </c>
      <c r="B37" s="14" t="s">
        <v>108</v>
      </c>
      <c r="C37" s="11" t="s">
        <v>37</v>
      </c>
      <c r="D37" s="12">
        <v>4</v>
      </c>
      <c r="E37" s="14" t="s">
        <v>318</v>
      </c>
      <c r="F37" s="11">
        <v>3</v>
      </c>
      <c r="G37" s="11">
        <v>5</v>
      </c>
      <c r="H37" s="11" t="s">
        <v>69</v>
      </c>
      <c r="I37" s="11"/>
    </row>
    <row r="38" spans="1:9" ht="12.75">
      <c r="A38" s="4" t="s">
        <v>23</v>
      </c>
      <c r="B38" s="14" t="s">
        <v>109</v>
      </c>
      <c r="C38" s="11" t="s">
        <v>37</v>
      </c>
      <c r="D38" s="12">
        <v>4</v>
      </c>
      <c r="E38" s="14" t="s">
        <v>318</v>
      </c>
      <c r="F38" s="11">
        <v>3</v>
      </c>
      <c r="G38" s="11">
        <v>5</v>
      </c>
      <c r="H38" s="11" t="s">
        <v>69</v>
      </c>
      <c r="I38" s="11"/>
    </row>
    <row r="39" spans="1:9" ht="12.75">
      <c r="A39" s="4" t="s">
        <v>23</v>
      </c>
      <c r="B39" s="14" t="s">
        <v>110</v>
      </c>
      <c r="C39" s="11" t="s">
        <v>37</v>
      </c>
      <c r="D39" s="12">
        <v>4</v>
      </c>
      <c r="E39" s="14" t="s">
        <v>318</v>
      </c>
      <c r="F39" s="11">
        <v>3</v>
      </c>
      <c r="G39" s="11">
        <v>5</v>
      </c>
      <c r="H39" s="11" t="s">
        <v>69</v>
      </c>
      <c r="I39" s="11"/>
    </row>
    <row r="40" spans="1:9" ht="12.75">
      <c r="A40" s="4" t="s">
        <v>23</v>
      </c>
      <c r="B40" s="14" t="s">
        <v>111</v>
      </c>
      <c r="C40" s="11" t="s">
        <v>37</v>
      </c>
      <c r="D40" s="12">
        <v>4</v>
      </c>
      <c r="E40" s="14" t="s">
        <v>318</v>
      </c>
      <c r="F40" s="11">
        <v>3</v>
      </c>
      <c r="G40" s="11">
        <v>5</v>
      </c>
      <c r="H40" s="11" t="s">
        <v>69</v>
      </c>
      <c r="I40" s="11"/>
    </row>
    <row r="41" spans="1:9" ht="12.75">
      <c r="A41" s="4" t="s">
        <v>23</v>
      </c>
      <c r="B41" s="14" t="s">
        <v>112</v>
      </c>
      <c r="C41" s="11" t="s">
        <v>38</v>
      </c>
      <c r="D41" s="12">
        <v>4</v>
      </c>
      <c r="E41" s="14" t="s">
        <v>318</v>
      </c>
      <c r="F41" s="11">
        <v>3</v>
      </c>
      <c r="G41" s="11">
        <v>5</v>
      </c>
      <c r="H41" s="11" t="s">
        <v>69</v>
      </c>
      <c r="I41" s="11"/>
    </row>
    <row r="42" spans="1:9" ht="12.75">
      <c r="A42" s="4" t="s">
        <v>23</v>
      </c>
      <c r="B42" s="12" t="s">
        <v>113</v>
      </c>
      <c r="C42" s="11" t="s">
        <v>38</v>
      </c>
      <c r="D42" s="12">
        <v>4</v>
      </c>
      <c r="E42" s="14" t="s">
        <v>318</v>
      </c>
      <c r="F42" s="11">
        <v>3</v>
      </c>
      <c r="G42" s="11">
        <v>5</v>
      </c>
      <c r="H42" s="11" t="s">
        <v>69</v>
      </c>
      <c r="I42" s="11"/>
    </row>
    <row r="43" spans="1:9" ht="12.75">
      <c r="A43" s="4" t="s">
        <v>23</v>
      </c>
      <c r="B43" s="12" t="s">
        <v>114</v>
      </c>
      <c r="C43" s="11" t="s">
        <v>38</v>
      </c>
      <c r="D43" s="12">
        <v>4</v>
      </c>
      <c r="E43" s="14" t="s">
        <v>318</v>
      </c>
      <c r="F43" s="11">
        <v>3</v>
      </c>
      <c r="G43" s="11">
        <v>5</v>
      </c>
      <c r="H43" s="11" t="s">
        <v>69</v>
      </c>
      <c r="I43" s="11"/>
    </row>
    <row r="44" spans="1:9" ht="12.75">
      <c r="A44" s="4" t="s">
        <v>424</v>
      </c>
      <c r="B44" s="12" t="s">
        <v>116</v>
      </c>
      <c r="C44" s="11" t="s">
        <v>15</v>
      </c>
      <c r="D44" s="12">
        <v>3</v>
      </c>
      <c r="E44" s="14" t="s">
        <v>318</v>
      </c>
      <c r="F44" s="11">
        <v>3</v>
      </c>
      <c r="G44" s="11">
        <v>3</v>
      </c>
      <c r="H44" s="11">
        <v>3</v>
      </c>
      <c r="I44" s="11"/>
    </row>
    <row r="45" spans="1:9" ht="12.75">
      <c r="A45" s="4" t="s">
        <v>424</v>
      </c>
      <c r="B45" s="12" t="s">
        <v>27</v>
      </c>
      <c r="C45" s="11" t="s">
        <v>15</v>
      </c>
      <c r="D45" s="12">
        <v>3</v>
      </c>
      <c r="E45" s="14" t="s">
        <v>318</v>
      </c>
      <c r="F45" s="11">
        <v>3</v>
      </c>
      <c r="G45" s="11">
        <v>3</v>
      </c>
      <c r="H45" s="11">
        <v>3</v>
      </c>
      <c r="I45" s="11"/>
    </row>
    <row r="46" spans="1:9" ht="12.75">
      <c r="A46" s="4" t="s">
        <v>424</v>
      </c>
      <c r="B46" s="12" t="s">
        <v>119</v>
      </c>
      <c r="C46" s="11" t="s">
        <v>15</v>
      </c>
      <c r="D46" s="12">
        <v>4</v>
      </c>
      <c r="E46" s="14" t="s">
        <v>318</v>
      </c>
      <c r="F46" s="11">
        <v>3</v>
      </c>
      <c r="G46" s="11">
        <v>4</v>
      </c>
      <c r="H46" s="11" t="s">
        <v>64</v>
      </c>
      <c r="I46" s="11"/>
    </row>
    <row r="47" spans="1:9" ht="12.75">
      <c r="A47" s="4" t="s">
        <v>424</v>
      </c>
      <c r="B47" s="12" t="s">
        <v>29</v>
      </c>
      <c r="C47" s="11" t="s">
        <v>15</v>
      </c>
      <c r="D47" s="12">
        <v>4</v>
      </c>
      <c r="E47" s="14" t="s">
        <v>318</v>
      </c>
      <c r="F47" s="11">
        <v>3</v>
      </c>
      <c r="G47" s="11">
        <v>4</v>
      </c>
      <c r="H47" s="11" t="s">
        <v>64</v>
      </c>
      <c r="I47" s="11"/>
    </row>
    <row r="48" spans="1:9" ht="12.75">
      <c r="A48" s="4" t="s">
        <v>424</v>
      </c>
      <c r="B48" s="12" t="s">
        <v>121</v>
      </c>
      <c r="C48" s="11" t="s">
        <v>19</v>
      </c>
      <c r="D48" s="12">
        <v>4</v>
      </c>
      <c r="E48" s="14" t="s">
        <v>318</v>
      </c>
      <c r="F48" s="11">
        <v>3</v>
      </c>
      <c r="G48" s="11">
        <v>5</v>
      </c>
      <c r="H48" s="11" t="s">
        <v>69</v>
      </c>
      <c r="I48" s="11"/>
    </row>
    <row r="49" spans="1:9" ht="12.75">
      <c r="A49" s="4" t="s">
        <v>424</v>
      </c>
      <c r="B49" s="12" t="s">
        <v>122</v>
      </c>
      <c r="C49" s="11" t="s">
        <v>19</v>
      </c>
      <c r="D49" s="12">
        <v>4</v>
      </c>
      <c r="E49" s="14" t="s">
        <v>318</v>
      </c>
      <c r="F49" s="11">
        <v>3</v>
      </c>
      <c r="G49" s="11">
        <v>5</v>
      </c>
      <c r="H49" s="11" t="s">
        <v>69</v>
      </c>
      <c r="I49" s="11"/>
    </row>
    <row r="50" spans="1:9" ht="12.75">
      <c r="A50" s="4" t="s">
        <v>424</v>
      </c>
      <c r="B50" s="14" t="s">
        <v>123</v>
      </c>
      <c r="C50" s="11" t="s">
        <v>19</v>
      </c>
      <c r="D50" s="12">
        <v>4</v>
      </c>
      <c r="E50" s="14" t="s">
        <v>318</v>
      </c>
      <c r="F50" s="11">
        <v>3</v>
      </c>
      <c r="G50" s="11">
        <v>5</v>
      </c>
      <c r="H50" s="11" t="s">
        <v>69</v>
      </c>
      <c r="I50" s="11"/>
    </row>
    <row r="51" spans="1:9" ht="12.75">
      <c r="A51" s="4" t="s">
        <v>424</v>
      </c>
      <c r="B51" s="12" t="s">
        <v>124</v>
      </c>
      <c r="C51" s="11" t="s">
        <v>19</v>
      </c>
      <c r="D51" s="12">
        <v>4</v>
      </c>
      <c r="E51" s="14" t="s">
        <v>318</v>
      </c>
      <c r="F51" s="11">
        <v>3</v>
      </c>
      <c r="G51" s="11">
        <v>5</v>
      </c>
      <c r="H51" s="11" t="s">
        <v>69</v>
      </c>
      <c r="I51" s="11"/>
    </row>
    <row r="52" spans="1:9" ht="12.75">
      <c r="A52" s="4" t="s">
        <v>424</v>
      </c>
      <c r="B52" s="12" t="s">
        <v>125</v>
      </c>
      <c r="C52" s="11" t="s">
        <v>37</v>
      </c>
      <c r="D52" s="12">
        <v>4</v>
      </c>
      <c r="E52" s="14" t="s">
        <v>318</v>
      </c>
      <c r="F52" s="11">
        <v>3</v>
      </c>
      <c r="G52" s="11">
        <v>5</v>
      </c>
      <c r="H52" s="11" t="s">
        <v>69</v>
      </c>
      <c r="I52" s="11"/>
    </row>
    <row r="53" spans="1:9" ht="12.75">
      <c r="A53" s="4" t="s">
        <v>424</v>
      </c>
      <c r="B53" s="12" t="s">
        <v>126</v>
      </c>
      <c r="C53" s="11" t="s">
        <v>37</v>
      </c>
      <c r="D53" s="12">
        <v>4</v>
      </c>
      <c r="E53" s="14" t="s">
        <v>318</v>
      </c>
      <c r="F53" s="11">
        <v>3</v>
      </c>
      <c r="G53" s="11">
        <v>5</v>
      </c>
      <c r="H53" s="11" t="s">
        <v>69</v>
      </c>
      <c r="I53" s="11"/>
    </row>
    <row r="54" spans="1:9" ht="12.75">
      <c r="A54" s="4" t="s">
        <v>424</v>
      </c>
      <c r="B54" s="12" t="s">
        <v>127</v>
      </c>
      <c r="C54" s="11" t="s">
        <v>37</v>
      </c>
      <c r="D54" s="12">
        <v>4</v>
      </c>
      <c r="E54" s="14" t="s">
        <v>318</v>
      </c>
      <c r="F54" s="11">
        <v>3</v>
      </c>
      <c r="G54" s="11">
        <v>5</v>
      </c>
      <c r="H54" s="11" t="s">
        <v>69</v>
      </c>
      <c r="I54" s="11"/>
    </row>
    <row r="55" spans="1:9" ht="12.75">
      <c r="A55" s="4" t="s">
        <v>424</v>
      </c>
      <c r="B55" s="12" t="s">
        <v>128</v>
      </c>
      <c r="C55" s="11" t="s">
        <v>37</v>
      </c>
      <c r="D55" s="12">
        <v>4</v>
      </c>
      <c r="E55" s="14" t="s">
        <v>318</v>
      </c>
      <c r="F55" s="11">
        <v>3</v>
      </c>
      <c r="G55" s="11">
        <v>5</v>
      </c>
      <c r="H55" s="11" t="s">
        <v>69</v>
      </c>
      <c r="I55" s="11"/>
    </row>
    <row r="56" spans="1:9" ht="12.75">
      <c r="A56" s="4" t="s">
        <v>424</v>
      </c>
      <c r="B56" s="12" t="s">
        <v>129</v>
      </c>
      <c r="C56" s="11" t="s">
        <v>37</v>
      </c>
      <c r="D56" s="12">
        <v>4</v>
      </c>
      <c r="E56" s="14" t="s">
        <v>318</v>
      </c>
      <c r="F56" s="11">
        <v>3</v>
      </c>
      <c r="G56" s="11">
        <v>5</v>
      </c>
      <c r="H56" s="11" t="s">
        <v>69</v>
      </c>
      <c r="I56" s="11"/>
    </row>
    <row r="57" spans="1:9" ht="12.75">
      <c r="A57" s="4" t="s">
        <v>424</v>
      </c>
      <c r="B57" s="12" t="s">
        <v>130</v>
      </c>
      <c r="C57" s="11" t="s">
        <v>37</v>
      </c>
      <c r="D57" s="12">
        <v>4</v>
      </c>
      <c r="E57" s="14" t="s">
        <v>318</v>
      </c>
      <c r="F57" s="11">
        <v>3</v>
      </c>
      <c r="G57" s="11">
        <v>5</v>
      </c>
      <c r="H57" s="11" t="s">
        <v>69</v>
      </c>
      <c r="I57" s="11"/>
    </row>
    <row r="58" spans="1:9" ht="12.75">
      <c r="A58" s="4" t="s">
        <v>424</v>
      </c>
      <c r="B58" s="12" t="s">
        <v>131</v>
      </c>
      <c r="C58" s="11" t="s">
        <v>37</v>
      </c>
      <c r="D58" s="12">
        <v>4</v>
      </c>
      <c r="E58" s="14" t="s">
        <v>318</v>
      </c>
      <c r="F58" s="11">
        <v>3</v>
      </c>
      <c r="G58" s="11">
        <v>5</v>
      </c>
      <c r="H58" s="11" t="s">
        <v>69</v>
      </c>
      <c r="I58" s="11"/>
    </row>
    <row r="59" spans="1:9" ht="12.75">
      <c r="A59" s="4" t="s">
        <v>424</v>
      </c>
      <c r="B59" s="12" t="s">
        <v>132</v>
      </c>
      <c r="C59" s="11" t="s">
        <v>37</v>
      </c>
      <c r="D59" s="12">
        <v>4</v>
      </c>
      <c r="E59" s="14" t="s">
        <v>318</v>
      </c>
      <c r="F59" s="11">
        <v>3</v>
      </c>
      <c r="G59" s="11">
        <v>5</v>
      </c>
      <c r="H59" s="11" t="s">
        <v>69</v>
      </c>
      <c r="I59" s="11"/>
    </row>
    <row r="60" spans="1:9" ht="12.75">
      <c r="A60" s="4" t="s">
        <v>424</v>
      </c>
      <c r="B60" s="12" t="s">
        <v>133</v>
      </c>
      <c r="C60" s="11" t="s">
        <v>37</v>
      </c>
      <c r="D60" s="12">
        <v>4</v>
      </c>
      <c r="E60" s="14" t="s">
        <v>318</v>
      </c>
      <c r="F60" s="11">
        <v>3</v>
      </c>
      <c r="G60" s="11">
        <v>5</v>
      </c>
      <c r="H60" s="11" t="s">
        <v>69</v>
      </c>
      <c r="I60" s="11"/>
    </row>
    <row r="61" spans="1:9" ht="12.75">
      <c r="A61" s="4" t="s">
        <v>424</v>
      </c>
      <c r="B61" s="12" t="s">
        <v>134</v>
      </c>
      <c r="C61" s="11" t="s">
        <v>38</v>
      </c>
      <c r="D61" s="12">
        <v>4</v>
      </c>
      <c r="E61" s="14" t="s">
        <v>319</v>
      </c>
      <c r="F61" s="11">
        <v>3</v>
      </c>
      <c r="G61" s="11">
        <v>5</v>
      </c>
      <c r="H61" s="11" t="s">
        <v>69</v>
      </c>
      <c r="I61" s="11"/>
    </row>
    <row r="62" spans="1:9" ht="12.75">
      <c r="A62" s="4" t="s">
        <v>424</v>
      </c>
      <c r="B62" s="12" t="s">
        <v>135</v>
      </c>
      <c r="C62" s="11" t="s">
        <v>38</v>
      </c>
      <c r="D62" s="12">
        <v>4</v>
      </c>
      <c r="E62" s="14" t="s">
        <v>319</v>
      </c>
      <c r="F62" s="11">
        <v>3</v>
      </c>
      <c r="G62" s="11">
        <v>5</v>
      </c>
      <c r="H62" s="11" t="s">
        <v>69</v>
      </c>
      <c r="I62" s="11"/>
    </row>
    <row r="63" spans="1:9" ht="12.75">
      <c r="A63" s="4" t="s">
        <v>424</v>
      </c>
      <c r="B63" s="12" t="s">
        <v>136</v>
      </c>
      <c r="C63" s="11" t="s">
        <v>38</v>
      </c>
      <c r="D63" s="12">
        <v>4</v>
      </c>
      <c r="E63" s="14" t="s">
        <v>319</v>
      </c>
      <c r="F63" s="11">
        <v>3</v>
      </c>
      <c r="G63" s="11">
        <v>5</v>
      </c>
      <c r="H63" s="11" t="s">
        <v>69</v>
      </c>
      <c r="I63" s="11"/>
    </row>
    <row r="64" spans="1:9" ht="12.75">
      <c r="A64" s="4" t="s">
        <v>424</v>
      </c>
      <c r="B64" s="12" t="s">
        <v>137</v>
      </c>
      <c r="C64" s="11" t="s">
        <v>38</v>
      </c>
      <c r="D64" s="12">
        <v>4</v>
      </c>
      <c r="E64" s="14" t="s">
        <v>319</v>
      </c>
      <c r="F64" s="11">
        <v>3</v>
      </c>
      <c r="G64" s="11">
        <v>5</v>
      </c>
      <c r="H64" s="11" t="s">
        <v>69</v>
      </c>
      <c r="I64" s="11"/>
    </row>
    <row r="65" spans="1:9" ht="12.75">
      <c r="A65" s="4" t="s">
        <v>424</v>
      </c>
      <c r="B65" s="12" t="s">
        <v>138</v>
      </c>
      <c r="C65" s="11" t="s">
        <v>38</v>
      </c>
      <c r="D65" s="12">
        <v>4</v>
      </c>
      <c r="E65" s="14" t="s">
        <v>319</v>
      </c>
      <c r="F65" s="11">
        <v>3</v>
      </c>
      <c r="G65" s="11">
        <v>5</v>
      </c>
      <c r="H65" s="11" t="s">
        <v>69</v>
      </c>
      <c r="I65" s="11"/>
    </row>
    <row r="66" spans="1:9" ht="12.75">
      <c r="A66" s="4" t="s">
        <v>424</v>
      </c>
      <c r="B66" s="12" t="s">
        <v>139</v>
      </c>
      <c r="C66" s="11" t="s">
        <v>38</v>
      </c>
      <c r="D66" s="12">
        <v>4</v>
      </c>
      <c r="E66" s="14" t="s">
        <v>319</v>
      </c>
      <c r="F66" s="11">
        <v>3</v>
      </c>
      <c r="G66" s="11">
        <v>5</v>
      </c>
      <c r="H66" s="11" t="s">
        <v>69</v>
      </c>
      <c r="I66" s="11"/>
    </row>
    <row r="67" spans="1:9" ht="12.75">
      <c r="A67" s="4" t="s">
        <v>425</v>
      </c>
      <c r="B67" s="12" t="s">
        <v>141</v>
      </c>
      <c r="C67" s="11" t="s">
        <v>15</v>
      </c>
      <c r="D67" s="12">
        <v>4</v>
      </c>
      <c r="E67" s="14" t="s">
        <v>318</v>
      </c>
      <c r="F67" s="11">
        <v>3</v>
      </c>
      <c r="G67" s="11">
        <v>4</v>
      </c>
      <c r="H67" s="11" t="s">
        <v>64</v>
      </c>
      <c r="I67" s="11"/>
    </row>
    <row r="68" spans="1:9" ht="12.75">
      <c r="A68" s="4" t="s">
        <v>425</v>
      </c>
      <c r="B68" s="12" t="s">
        <v>31</v>
      </c>
      <c r="C68" s="11" t="s">
        <v>15</v>
      </c>
      <c r="D68" s="12">
        <v>4</v>
      </c>
      <c r="E68" s="14" t="s">
        <v>318</v>
      </c>
      <c r="F68" s="11">
        <v>3</v>
      </c>
      <c r="G68" s="11">
        <v>4</v>
      </c>
      <c r="H68" s="11" t="s">
        <v>64</v>
      </c>
      <c r="I68" s="11"/>
    </row>
    <row r="69" spans="1:9" ht="12.75">
      <c r="A69" s="4" t="s">
        <v>425</v>
      </c>
      <c r="B69" s="15" t="s">
        <v>142</v>
      </c>
      <c r="C69" s="11" t="s">
        <v>15</v>
      </c>
      <c r="D69" s="12">
        <v>1</v>
      </c>
      <c r="E69" s="14" t="s">
        <v>320</v>
      </c>
      <c r="F69" s="11">
        <v>1</v>
      </c>
      <c r="G69" s="11">
        <v>1</v>
      </c>
      <c r="H69" s="11">
        <v>1</v>
      </c>
      <c r="I69" s="11"/>
    </row>
    <row r="70" spans="1:9" ht="12.75">
      <c r="A70" s="4" t="s">
        <v>425</v>
      </c>
      <c r="B70" s="15" t="s">
        <v>34</v>
      </c>
      <c r="C70" s="11" t="s">
        <v>15</v>
      </c>
      <c r="D70" s="12">
        <v>1</v>
      </c>
      <c r="E70" s="14" t="s">
        <v>320</v>
      </c>
      <c r="F70" s="11">
        <v>1</v>
      </c>
      <c r="G70" s="11">
        <v>1</v>
      </c>
      <c r="H70" s="11">
        <v>1</v>
      </c>
      <c r="I70" s="11"/>
    </row>
    <row r="71" spans="1:9" ht="12.75">
      <c r="A71" s="4" t="s">
        <v>425</v>
      </c>
      <c r="B71" s="12" t="s">
        <v>144</v>
      </c>
      <c r="C71" s="11" t="s">
        <v>19</v>
      </c>
      <c r="D71" s="12">
        <v>4</v>
      </c>
      <c r="E71" s="14" t="s">
        <v>318</v>
      </c>
      <c r="F71" s="11">
        <v>3</v>
      </c>
      <c r="G71" s="11">
        <v>5</v>
      </c>
      <c r="H71" s="11" t="s">
        <v>69</v>
      </c>
      <c r="I71" s="11"/>
    </row>
    <row r="72" spans="1:9" ht="12.75">
      <c r="A72" s="4" t="s">
        <v>425</v>
      </c>
      <c r="B72" s="12" t="s">
        <v>145</v>
      </c>
      <c r="C72" s="11" t="s">
        <v>19</v>
      </c>
      <c r="D72" s="12">
        <v>4</v>
      </c>
      <c r="E72" s="14" t="s">
        <v>318</v>
      </c>
      <c r="F72" s="11">
        <v>3</v>
      </c>
      <c r="G72" s="11">
        <v>5</v>
      </c>
      <c r="H72" s="11" t="s">
        <v>69</v>
      </c>
      <c r="I72" s="11"/>
    </row>
    <row r="73" spans="1:9" ht="12.75">
      <c r="A73" s="4" t="s">
        <v>425</v>
      </c>
      <c r="B73" s="12" t="s">
        <v>146</v>
      </c>
      <c r="C73" s="11" t="s">
        <v>19</v>
      </c>
      <c r="D73" s="12">
        <v>4</v>
      </c>
      <c r="E73" s="14" t="s">
        <v>318</v>
      </c>
      <c r="F73" s="11">
        <v>3</v>
      </c>
      <c r="G73" s="11">
        <v>5</v>
      </c>
      <c r="H73" s="11" t="s">
        <v>69</v>
      </c>
      <c r="I73" s="11"/>
    </row>
    <row r="74" spans="1:9" ht="12.75">
      <c r="A74" s="4" t="s">
        <v>425</v>
      </c>
      <c r="B74" s="12" t="s">
        <v>147</v>
      </c>
      <c r="C74" s="11" t="s">
        <v>19</v>
      </c>
      <c r="D74" s="12">
        <v>4</v>
      </c>
      <c r="E74" s="14" t="s">
        <v>318</v>
      </c>
      <c r="F74" s="11">
        <v>3</v>
      </c>
      <c r="G74" s="11">
        <v>5</v>
      </c>
      <c r="H74" s="11" t="s">
        <v>69</v>
      </c>
      <c r="I74" s="11"/>
    </row>
    <row r="75" spans="1:9" ht="12.75">
      <c r="A75" s="4" t="s">
        <v>425</v>
      </c>
      <c r="B75" s="12" t="s">
        <v>148</v>
      </c>
      <c r="C75" s="11" t="s">
        <v>37</v>
      </c>
      <c r="D75" s="12">
        <v>4</v>
      </c>
      <c r="E75" s="14" t="s">
        <v>318</v>
      </c>
      <c r="F75" s="11">
        <v>3</v>
      </c>
      <c r="G75" s="11">
        <v>5</v>
      </c>
      <c r="H75" s="11" t="s">
        <v>69</v>
      </c>
      <c r="I75" s="11"/>
    </row>
    <row r="76" spans="1:9" ht="12.75">
      <c r="A76" s="4" t="s">
        <v>425</v>
      </c>
      <c r="B76" s="12" t="s">
        <v>149</v>
      </c>
      <c r="C76" s="11" t="s">
        <v>37</v>
      </c>
      <c r="D76" s="12">
        <v>4</v>
      </c>
      <c r="E76" s="14" t="s">
        <v>318</v>
      </c>
      <c r="F76" s="11">
        <v>3</v>
      </c>
      <c r="G76" s="11">
        <v>5</v>
      </c>
      <c r="H76" s="11" t="s">
        <v>69</v>
      </c>
      <c r="I76" s="11"/>
    </row>
    <row r="77" spans="1:9" ht="12.75">
      <c r="A77" s="4" t="s">
        <v>425</v>
      </c>
      <c r="B77" s="12" t="s">
        <v>150</v>
      </c>
      <c r="C77" s="11" t="s">
        <v>37</v>
      </c>
      <c r="D77" s="12">
        <v>4</v>
      </c>
      <c r="E77" s="14" t="s">
        <v>318</v>
      </c>
      <c r="F77" s="11">
        <v>3</v>
      </c>
      <c r="G77" s="11">
        <v>5</v>
      </c>
      <c r="H77" s="11" t="s">
        <v>69</v>
      </c>
      <c r="I77" s="11"/>
    </row>
    <row r="78" spans="1:9" ht="12.75">
      <c r="A78" s="4" t="s">
        <v>425</v>
      </c>
      <c r="B78" s="12" t="s">
        <v>151</v>
      </c>
      <c r="C78" s="11" t="s">
        <v>37</v>
      </c>
      <c r="D78" s="12">
        <v>4</v>
      </c>
      <c r="E78" s="14" t="s">
        <v>318</v>
      </c>
      <c r="F78" s="11">
        <v>3</v>
      </c>
      <c r="G78" s="11">
        <v>5</v>
      </c>
      <c r="H78" s="11" t="s">
        <v>69</v>
      </c>
      <c r="I78" s="11"/>
    </row>
    <row r="79" spans="1:9" ht="12.75">
      <c r="A79" s="4" t="s">
        <v>425</v>
      </c>
      <c r="B79" s="12" t="s">
        <v>152</v>
      </c>
      <c r="C79" s="11" t="s">
        <v>37</v>
      </c>
      <c r="D79" s="12">
        <v>4</v>
      </c>
      <c r="E79" s="14" t="s">
        <v>318</v>
      </c>
      <c r="F79" s="11">
        <v>3</v>
      </c>
      <c r="G79" s="11">
        <v>5</v>
      </c>
      <c r="H79" s="11" t="s">
        <v>69</v>
      </c>
      <c r="I79" s="11"/>
    </row>
    <row r="80" spans="1:9" ht="12.75">
      <c r="A80" s="4" t="s">
        <v>425</v>
      </c>
      <c r="B80" s="12" t="s">
        <v>153</v>
      </c>
      <c r="C80" s="11" t="s">
        <v>37</v>
      </c>
      <c r="D80" s="12">
        <v>4</v>
      </c>
      <c r="E80" s="14" t="s">
        <v>318</v>
      </c>
      <c r="F80" s="11">
        <v>3</v>
      </c>
      <c r="G80" s="11">
        <v>5</v>
      </c>
      <c r="H80" s="11" t="s">
        <v>69</v>
      </c>
      <c r="I80" s="11"/>
    </row>
    <row r="81" spans="1:9" ht="12.75">
      <c r="A81" s="4" t="s">
        <v>425</v>
      </c>
      <c r="B81" s="12" t="s">
        <v>154</v>
      </c>
      <c r="C81" s="11" t="s">
        <v>37</v>
      </c>
      <c r="D81" s="12">
        <v>4</v>
      </c>
      <c r="E81" s="14" t="s">
        <v>318</v>
      </c>
      <c r="F81" s="11">
        <v>3</v>
      </c>
      <c r="G81" s="11">
        <v>5</v>
      </c>
      <c r="H81" s="11" t="s">
        <v>69</v>
      </c>
      <c r="I81" s="11"/>
    </row>
    <row r="82" spans="1:9" ht="12.75">
      <c r="A82" s="4" t="s">
        <v>425</v>
      </c>
      <c r="B82" s="12" t="s">
        <v>155</v>
      </c>
      <c r="C82" s="11" t="s">
        <v>37</v>
      </c>
      <c r="D82" s="12">
        <v>4</v>
      </c>
      <c r="E82" s="14" t="s">
        <v>318</v>
      </c>
      <c r="F82" s="11">
        <v>3</v>
      </c>
      <c r="G82" s="11">
        <v>5</v>
      </c>
      <c r="H82" s="11" t="s">
        <v>69</v>
      </c>
      <c r="I82" s="11"/>
    </row>
    <row r="83" spans="1:9" ht="12.75">
      <c r="A83" s="4" t="s">
        <v>425</v>
      </c>
      <c r="B83" s="12" t="s">
        <v>156</v>
      </c>
      <c r="C83" s="11" t="s">
        <v>38</v>
      </c>
      <c r="D83" s="12">
        <v>4</v>
      </c>
      <c r="E83" s="14" t="s">
        <v>319</v>
      </c>
      <c r="F83" s="11">
        <v>3</v>
      </c>
      <c r="G83" s="11">
        <v>5</v>
      </c>
      <c r="H83" s="11" t="s">
        <v>69</v>
      </c>
      <c r="I83" s="11"/>
    </row>
    <row r="84" spans="1:9" ht="12.75">
      <c r="A84" s="4" t="s">
        <v>425</v>
      </c>
      <c r="B84" s="12" t="s">
        <v>157</v>
      </c>
      <c r="C84" s="11" t="s">
        <v>38</v>
      </c>
      <c r="D84" s="12">
        <v>4</v>
      </c>
      <c r="E84" s="14" t="s">
        <v>319</v>
      </c>
      <c r="F84" s="11">
        <v>3</v>
      </c>
      <c r="G84" s="11">
        <v>5</v>
      </c>
      <c r="H84" s="11" t="s">
        <v>69</v>
      </c>
      <c r="I84" s="11"/>
    </row>
    <row r="85" spans="1:9" ht="12.75">
      <c r="A85" s="4" t="s">
        <v>425</v>
      </c>
      <c r="B85" s="14" t="s">
        <v>158</v>
      </c>
      <c r="C85" s="11" t="s">
        <v>38</v>
      </c>
      <c r="D85" s="12">
        <v>4</v>
      </c>
      <c r="E85" s="14" t="s">
        <v>319</v>
      </c>
      <c r="F85" s="11">
        <v>3</v>
      </c>
      <c r="G85" s="11">
        <v>5</v>
      </c>
      <c r="H85" s="11" t="s">
        <v>69</v>
      </c>
      <c r="I85" s="11"/>
    </row>
    <row r="86" spans="1:9" ht="12.75">
      <c r="A86" s="4" t="s">
        <v>426</v>
      </c>
      <c r="B86" s="14" t="s">
        <v>160</v>
      </c>
      <c r="C86" s="11" t="s">
        <v>19</v>
      </c>
      <c r="D86" s="12">
        <v>3</v>
      </c>
      <c r="E86" s="14" t="s">
        <v>320</v>
      </c>
      <c r="F86" s="11">
        <v>2</v>
      </c>
      <c r="G86" s="11">
        <v>4</v>
      </c>
      <c r="H86" s="11" t="s">
        <v>161</v>
      </c>
      <c r="I86" s="11"/>
    </row>
    <row r="87" spans="1:9" ht="12.75">
      <c r="A87" s="4" t="s">
        <v>426</v>
      </c>
      <c r="B87" s="14" t="s">
        <v>162</v>
      </c>
      <c r="C87" s="11" t="s">
        <v>19</v>
      </c>
      <c r="D87" s="12">
        <v>3</v>
      </c>
      <c r="E87" s="14" t="s">
        <v>320</v>
      </c>
      <c r="F87" s="11">
        <v>2</v>
      </c>
      <c r="G87" s="11">
        <v>4</v>
      </c>
      <c r="H87" s="11" t="s">
        <v>161</v>
      </c>
      <c r="I87" s="11"/>
    </row>
    <row r="88" spans="1:9" ht="12.75">
      <c r="A88" s="4" t="s">
        <v>426</v>
      </c>
      <c r="B88" s="14" t="s">
        <v>163</v>
      </c>
      <c r="C88" s="11" t="s">
        <v>37</v>
      </c>
      <c r="D88" s="12">
        <v>3</v>
      </c>
      <c r="E88" s="14" t="s">
        <v>320</v>
      </c>
      <c r="F88" s="11">
        <v>2</v>
      </c>
      <c r="G88" s="11">
        <v>4</v>
      </c>
      <c r="H88" s="11" t="s">
        <v>161</v>
      </c>
      <c r="I88" s="11"/>
    </row>
    <row r="89" spans="1:9" ht="12.75">
      <c r="A89" s="4" t="s">
        <v>426</v>
      </c>
      <c r="B89" s="14" t="s">
        <v>164</v>
      </c>
      <c r="C89" s="11" t="s">
        <v>37</v>
      </c>
      <c r="D89" s="12">
        <v>2</v>
      </c>
      <c r="E89" s="14" t="s">
        <v>320</v>
      </c>
      <c r="F89" s="11">
        <v>1</v>
      </c>
      <c r="G89" s="11">
        <v>2</v>
      </c>
      <c r="H89" s="11" t="s">
        <v>166</v>
      </c>
      <c r="I89" s="11"/>
    </row>
    <row r="90" spans="1:9" ht="12.75">
      <c r="A90" s="4" t="s">
        <v>426</v>
      </c>
      <c r="B90" s="14" t="s">
        <v>167</v>
      </c>
      <c r="C90" s="11" t="s">
        <v>37</v>
      </c>
      <c r="D90" s="12">
        <v>2</v>
      </c>
      <c r="E90" s="14" t="s">
        <v>320</v>
      </c>
      <c r="F90" s="11">
        <v>1</v>
      </c>
      <c r="G90" s="11">
        <v>2</v>
      </c>
      <c r="H90" s="11" t="s">
        <v>166</v>
      </c>
      <c r="I90" s="11"/>
    </row>
    <row r="91" spans="1:9" ht="12.75">
      <c r="A91" s="4" t="s">
        <v>426</v>
      </c>
      <c r="B91" s="14" t="s">
        <v>168</v>
      </c>
      <c r="C91" s="11" t="s">
        <v>38</v>
      </c>
      <c r="D91" s="12">
        <v>3</v>
      </c>
      <c r="E91" s="14" t="s">
        <v>320</v>
      </c>
      <c r="F91" s="11">
        <v>2</v>
      </c>
      <c r="G91" s="11">
        <v>4</v>
      </c>
      <c r="H91" s="11" t="s">
        <v>161</v>
      </c>
      <c r="I91" s="11"/>
    </row>
    <row r="92" spans="1:9" ht="12.75">
      <c r="A92" s="4" t="s">
        <v>426</v>
      </c>
      <c r="B92" s="14" t="s">
        <v>169</v>
      </c>
      <c r="C92" s="11" t="s">
        <v>38</v>
      </c>
      <c r="D92" s="12">
        <v>3</v>
      </c>
      <c r="E92" s="14" t="s">
        <v>320</v>
      </c>
      <c r="F92" s="11">
        <v>2</v>
      </c>
      <c r="G92" s="11">
        <v>4</v>
      </c>
      <c r="H92" s="11" t="s">
        <v>161</v>
      </c>
      <c r="I92" s="11"/>
    </row>
    <row r="93" spans="1:9" ht="12.75">
      <c r="A93" s="4" t="s">
        <v>427</v>
      </c>
      <c r="B93" s="14" t="s">
        <v>171</v>
      </c>
      <c r="C93" s="11" t="s">
        <v>19</v>
      </c>
      <c r="D93" s="12">
        <v>3</v>
      </c>
      <c r="E93" s="14" t="s">
        <v>320</v>
      </c>
      <c r="F93" s="11">
        <v>2</v>
      </c>
      <c r="G93" s="11">
        <v>4</v>
      </c>
      <c r="H93" s="11" t="s">
        <v>161</v>
      </c>
      <c r="I93" s="11"/>
    </row>
    <row r="94" spans="1:9" ht="12.75">
      <c r="A94" s="4" t="s">
        <v>427</v>
      </c>
      <c r="B94" s="14" t="s">
        <v>172</v>
      </c>
      <c r="C94" s="11" t="s">
        <v>19</v>
      </c>
      <c r="D94" s="12">
        <v>3</v>
      </c>
      <c r="E94" s="14" t="s">
        <v>320</v>
      </c>
      <c r="F94" s="11">
        <v>2</v>
      </c>
      <c r="G94" s="11">
        <v>4</v>
      </c>
      <c r="H94" s="11" t="s">
        <v>161</v>
      </c>
      <c r="I94" s="11"/>
    </row>
    <row r="95" spans="1:9" ht="12.75">
      <c r="A95" s="4" t="s">
        <v>427</v>
      </c>
      <c r="B95" s="14" t="s">
        <v>173</v>
      </c>
      <c r="C95" s="11" t="s">
        <v>19</v>
      </c>
      <c r="D95" s="12">
        <v>3</v>
      </c>
      <c r="E95" s="14" t="s">
        <v>320</v>
      </c>
      <c r="F95" s="11">
        <v>2</v>
      </c>
      <c r="G95" s="11">
        <v>4</v>
      </c>
      <c r="H95" s="11" t="s">
        <v>161</v>
      </c>
      <c r="I95" s="11"/>
    </row>
    <row r="96" spans="1:9" ht="12.75">
      <c r="A96" s="4" t="s">
        <v>427</v>
      </c>
      <c r="B96" s="14" t="s">
        <v>174</v>
      </c>
      <c r="C96" s="11" t="s">
        <v>37</v>
      </c>
      <c r="D96" s="12">
        <v>3</v>
      </c>
      <c r="E96" s="14" t="s">
        <v>320</v>
      </c>
      <c r="F96" s="11">
        <v>2</v>
      </c>
      <c r="G96" s="11">
        <v>4</v>
      </c>
      <c r="H96" s="11" t="s">
        <v>161</v>
      </c>
      <c r="I96" s="11"/>
    </row>
    <row r="97" spans="1:9" ht="12.75">
      <c r="A97" s="4" t="s">
        <v>427</v>
      </c>
      <c r="B97" s="14" t="s">
        <v>175</v>
      </c>
      <c r="C97" s="11" t="s">
        <v>37</v>
      </c>
      <c r="D97" s="12">
        <v>3</v>
      </c>
      <c r="E97" s="14" t="s">
        <v>320</v>
      </c>
      <c r="F97" s="11">
        <v>2</v>
      </c>
      <c r="G97" s="11">
        <v>4</v>
      </c>
      <c r="H97" s="11" t="s">
        <v>161</v>
      </c>
      <c r="I97" s="11"/>
    </row>
    <row r="98" spans="1:9" ht="12.75">
      <c r="A98" s="4" t="s">
        <v>427</v>
      </c>
      <c r="B98" s="12" t="s">
        <v>176</v>
      </c>
      <c r="C98" s="11" t="s">
        <v>37</v>
      </c>
      <c r="D98" s="12">
        <v>3</v>
      </c>
      <c r="E98" s="14" t="s">
        <v>320</v>
      </c>
      <c r="F98" s="11">
        <v>2</v>
      </c>
      <c r="G98" s="11">
        <v>4</v>
      </c>
      <c r="H98" s="11" t="s">
        <v>161</v>
      </c>
      <c r="I98" s="11"/>
    </row>
    <row r="99" spans="1:9" ht="12.75">
      <c r="A99" s="4" t="s">
        <v>427</v>
      </c>
      <c r="B99" s="12" t="s">
        <v>177</v>
      </c>
      <c r="C99" s="11" t="s">
        <v>37</v>
      </c>
      <c r="D99" s="12">
        <v>3</v>
      </c>
      <c r="E99" s="14" t="s">
        <v>320</v>
      </c>
      <c r="F99" s="11">
        <v>2</v>
      </c>
      <c r="G99" s="11">
        <v>4</v>
      </c>
      <c r="H99" s="11" t="s">
        <v>161</v>
      </c>
      <c r="I99" s="11"/>
    </row>
    <row r="100" spans="1:9" ht="12.75">
      <c r="A100" s="4" t="s">
        <v>427</v>
      </c>
      <c r="B100" s="12" t="s">
        <v>178</v>
      </c>
      <c r="C100" s="11" t="s">
        <v>38</v>
      </c>
      <c r="D100" s="12">
        <v>3</v>
      </c>
      <c r="E100" s="14" t="s">
        <v>320</v>
      </c>
      <c r="F100" s="11">
        <v>2</v>
      </c>
      <c r="G100" s="11">
        <v>4</v>
      </c>
      <c r="H100" s="11" t="s">
        <v>161</v>
      </c>
      <c r="I100" s="11"/>
    </row>
    <row r="101" spans="1:9" ht="12.75">
      <c r="A101" s="4" t="s">
        <v>427</v>
      </c>
      <c r="B101" s="12" t="s">
        <v>179</v>
      </c>
      <c r="C101" s="11" t="s">
        <v>38</v>
      </c>
      <c r="D101" s="12">
        <v>3</v>
      </c>
      <c r="E101" s="14" t="s">
        <v>320</v>
      </c>
      <c r="F101" s="11">
        <v>2</v>
      </c>
      <c r="G101" s="11">
        <v>4</v>
      </c>
      <c r="H101" s="11" t="s">
        <v>161</v>
      </c>
      <c r="I101" s="11"/>
    </row>
    <row r="102" spans="1:9" ht="12.75">
      <c r="A102" s="4" t="s">
        <v>39</v>
      </c>
      <c r="B102" s="12" t="s">
        <v>180</v>
      </c>
      <c r="C102" s="11" t="s">
        <v>19</v>
      </c>
      <c r="D102" s="12">
        <v>4</v>
      </c>
      <c r="E102" s="14" t="s">
        <v>318</v>
      </c>
      <c r="F102" s="11">
        <v>3</v>
      </c>
      <c r="G102" s="11">
        <v>5</v>
      </c>
      <c r="H102" s="11" t="s">
        <v>69</v>
      </c>
      <c r="I102" s="11"/>
    </row>
    <row r="103" spans="1:9" ht="12.75">
      <c r="A103" s="4" t="s">
        <v>39</v>
      </c>
      <c r="B103" s="12" t="s">
        <v>181</v>
      </c>
      <c r="C103" s="11" t="s">
        <v>37</v>
      </c>
      <c r="D103" s="12">
        <v>4</v>
      </c>
      <c r="E103" s="14" t="s">
        <v>318</v>
      </c>
      <c r="F103" s="11">
        <v>3</v>
      </c>
      <c r="G103" s="11">
        <v>5</v>
      </c>
      <c r="H103" s="11" t="s">
        <v>69</v>
      </c>
      <c r="I103" s="11"/>
    </row>
    <row r="104" spans="1:9" ht="12.75">
      <c r="A104" s="4" t="s">
        <v>39</v>
      </c>
      <c r="B104" s="12" t="s">
        <v>182</v>
      </c>
      <c r="C104" s="11" t="s">
        <v>37</v>
      </c>
      <c r="D104" s="12">
        <v>4</v>
      </c>
      <c r="E104" s="14" t="s">
        <v>318</v>
      </c>
      <c r="F104" s="11">
        <v>3</v>
      </c>
      <c r="G104" s="11">
        <v>5</v>
      </c>
      <c r="H104" s="11" t="s">
        <v>69</v>
      </c>
      <c r="I104" s="11"/>
    </row>
    <row r="105" spans="1:9" ht="12.75">
      <c r="A105" s="4" t="s">
        <v>39</v>
      </c>
      <c r="B105" s="14" t="s">
        <v>183</v>
      </c>
      <c r="C105" s="11" t="s">
        <v>38</v>
      </c>
      <c r="D105" s="12">
        <v>4</v>
      </c>
      <c r="E105" s="14" t="s">
        <v>318</v>
      </c>
      <c r="F105" s="11">
        <v>3</v>
      </c>
      <c r="G105" s="11">
        <v>5</v>
      </c>
      <c r="H105" s="11" t="s">
        <v>69</v>
      </c>
      <c r="I105" s="11"/>
    </row>
    <row r="106" spans="1:9" ht="12.75">
      <c r="A106" s="4" t="s">
        <v>39</v>
      </c>
      <c r="B106" s="12" t="s">
        <v>184</v>
      </c>
      <c r="C106" s="11" t="s">
        <v>38</v>
      </c>
      <c r="D106" s="12">
        <v>4</v>
      </c>
      <c r="E106" s="14" t="s">
        <v>318</v>
      </c>
      <c r="F106" s="11">
        <v>3</v>
      </c>
      <c r="G106" s="11">
        <v>5</v>
      </c>
      <c r="H106" s="11" t="s">
        <v>69</v>
      </c>
      <c r="I106" s="11"/>
    </row>
    <row r="107" spans="1:9" ht="12.75">
      <c r="A107" s="4" t="s">
        <v>39</v>
      </c>
      <c r="B107" s="12" t="s">
        <v>185</v>
      </c>
      <c r="C107" s="11" t="s">
        <v>38</v>
      </c>
      <c r="D107" s="12">
        <v>2</v>
      </c>
      <c r="E107" s="14" t="s">
        <v>318</v>
      </c>
      <c r="F107" s="11">
        <v>1</v>
      </c>
      <c r="G107" s="11">
        <v>2</v>
      </c>
      <c r="H107" s="11" t="s">
        <v>166</v>
      </c>
      <c r="I107" s="11"/>
    </row>
    <row r="108" spans="1:9" ht="12.75">
      <c r="A108" s="4" t="s">
        <v>39</v>
      </c>
      <c r="B108" s="12" t="s">
        <v>186</v>
      </c>
      <c r="C108" s="11" t="s">
        <v>38</v>
      </c>
      <c r="D108" s="12">
        <v>4</v>
      </c>
      <c r="E108" s="14" t="s">
        <v>318</v>
      </c>
      <c r="F108" s="11">
        <v>3</v>
      </c>
      <c r="G108" s="11">
        <v>5</v>
      </c>
      <c r="H108" s="11" t="s">
        <v>69</v>
      </c>
      <c r="I108" s="11"/>
    </row>
    <row r="109" spans="1:9" ht="13.5">
      <c r="A109" s="51" t="s">
        <v>508</v>
      </c>
      <c r="B109" s="12" t="s">
        <v>187</v>
      </c>
      <c r="C109" s="11" t="s">
        <v>19</v>
      </c>
      <c r="D109" s="12">
        <v>4</v>
      </c>
      <c r="E109" s="14" t="s">
        <v>318</v>
      </c>
      <c r="F109" s="11">
        <v>3</v>
      </c>
      <c r="G109" s="11">
        <v>5</v>
      </c>
      <c r="H109" s="11" t="s">
        <v>69</v>
      </c>
      <c r="I109" s="11"/>
    </row>
    <row r="110" spans="1:9" ht="12.75">
      <c r="A110" s="4" t="s">
        <v>40</v>
      </c>
      <c r="B110" s="12" t="s">
        <v>188</v>
      </c>
      <c r="C110" s="11" t="s">
        <v>37</v>
      </c>
      <c r="D110" s="12">
        <v>4</v>
      </c>
      <c r="E110" s="14" t="s">
        <v>318</v>
      </c>
      <c r="F110" s="11">
        <v>3</v>
      </c>
      <c r="G110" s="11">
        <v>5</v>
      </c>
      <c r="H110" s="11" t="s">
        <v>69</v>
      </c>
      <c r="I110" s="11"/>
    </row>
    <row r="111" spans="1:9" ht="12.75">
      <c r="A111" s="4" t="s">
        <v>40</v>
      </c>
      <c r="B111" s="12" t="s">
        <v>189</v>
      </c>
      <c r="C111" s="11" t="s">
        <v>37</v>
      </c>
      <c r="D111" s="12">
        <v>4</v>
      </c>
      <c r="E111" s="14" t="s">
        <v>318</v>
      </c>
      <c r="F111" s="11">
        <v>3</v>
      </c>
      <c r="G111" s="11">
        <v>5</v>
      </c>
      <c r="H111" s="11" t="s">
        <v>69</v>
      </c>
      <c r="I111" s="11"/>
    </row>
    <row r="112" spans="1:9" ht="12.75">
      <c r="A112" s="4" t="s">
        <v>40</v>
      </c>
      <c r="B112" s="12" t="s">
        <v>190</v>
      </c>
      <c r="C112" s="11" t="s">
        <v>38</v>
      </c>
      <c r="D112" s="12">
        <v>4</v>
      </c>
      <c r="E112" s="14" t="s">
        <v>318</v>
      </c>
      <c r="F112" s="11">
        <v>3</v>
      </c>
      <c r="G112" s="11">
        <v>5</v>
      </c>
      <c r="H112" s="11" t="s">
        <v>69</v>
      </c>
      <c r="I112" s="11"/>
    </row>
    <row r="113" spans="1:9" ht="12.75">
      <c r="A113" s="4" t="s">
        <v>438</v>
      </c>
      <c r="B113" s="12" t="s">
        <v>191</v>
      </c>
      <c r="C113" s="11" t="s">
        <v>19</v>
      </c>
      <c r="D113" s="12">
        <v>4</v>
      </c>
      <c r="E113" s="14" t="s">
        <v>318</v>
      </c>
      <c r="F113" s="11">
        <v>3</v>
      </c>
      <c r="G113" s="11">
        <v>5</v>
      </c>
      <c r="H113" s="11" t="s">
        <v>69</v>
      </c>
      <c r="I113" s="11"/>
    </row>
    <row r="114" spans="1:9" ht="12.75">
      <c r="A114" s="4" t="s">
        <v>438</v>
      </c>
      <c r="B114" s="12" t="s">
        <v>193</v>
      </c>
      <c r="C114" s="11" t="s">
        <v>19</v>
      </c>
      <c r="D114" s="12">
        <v>4</v>
      </c>
      <c r="E114" s="14" t="s">
        <v>318</v>
      </c>
      <c r="F114" s="11">
        <v>3</v>
      </c>
      <c r="G114" s="11">
        <v>5</v>
      </c>
      <c r="H114" s="11" t="s">
        <v>69</v>
      </c>
      <c r="I114" s="11"/>
    </row>
    <row r="115" spans="1:9" ht="12.75">
      <c r="A115" s="4" t="s">
        <v>438</v>
      </c>
      <c r="B115" s="12" t="s">
        <v>194</v>
      </c>
      <c r="C115" s="11" t="s">
        <v>19</v>
      </c>
      <c r="D115" s="12">
        <v>4</v>
      </c>
      <c r="E115" s="14" t="s">
        <v>318</v>
      </c>
      <c r="F115" s="11">
        <v>3</v>
      </c>
      <c r="G115" s="11">
        <v>5</v>
      </c>
      <c r="H115" s="11" t="s">
        <v>69</v>
      </c>
      <c r="I115" s="11"/>
    </row>
    <row r="116" spans="1:9" ht="12.75">
      <c r="A116" s="4" t="s">
        <v>438</v>
      </c>
      <c r="B116" s="12" t="s">
        <v>195</v>
      </c>
      <c r="C116" s="11" t="s">
        <v>19</v>
      </c>
      <c r="D116" s="12">
        <v>4</v>
      </c>
      <c r="E116" s="14" t="s">
        <v>318</v>
      </c>
      <c r="F116" s="11">
        <v>3</v>
      </c>
      <c r="G116" s="11">
        <v>5</v>
      </c>
      <c r="H116" s="11" t="s">
        <v>69</v>
      </c>
      <c r="I116" s="11"/>
    </row>
    <row r="117" spans="1:9" ht="12.75">
      <c r="A117" s="4" t="s">
        <v>438</v>
      </c>
      <c r="B117" s="12" t="s">
        <v>196</v>
      </c>
      <c r="C117" s="11" t="s">
        <v>19</v>
      </c>
      <c r="D117" s="12">
        <v>4</v>
      </c>
      <c r="E117" s="14" t="s">
        <v>318</v>
      </c>
      <c r="F117" s="11">
        <v>3</v>
      </c>
      <c r="G117" s="11">
        <v>5</v>
      </c>
      <c r="H117" s="11" t="s">
        <v>69</v>
      </c>
      <c r="I117" s="11"/>
    </row>
    <row r="118" spans="1:9" ht="12.75">
      <c r="A118" s="4" t="s">
        <v>438</v>
      </c>
      <c r="B118" s="12" t="s">
        <v>197</v>
      </c>
      <c r="C118" s="11" t="s">
        <v>19</v>
      </c>
      <c r="D118" s="12">
        <v>4</v>
      </c>
      <c r="E118" s="14" t="s">
        <v>318</v>
      </c>
      <c r="F118" s="11">
        <v>3</v>
      </c>
      <c r="G118" s="11">
        <v>5</v>
      </c>
      <c r="H118" s="11" t="s">
        <v>69</v>
      </c>
      <c r="I118" s="11"/>
    </row>
    <row r="119" spans="1:9" ht="12.75">
      <c r="A119" s="4" t="s">
        <v>438</v>
      </c>
      <c r="B119" s="12" t="s">
        <v>198</v>
      </c>
      <c r="C119" s="11" t="s">
        <v>19</v>
      </c>
      <c r="D119" s="12">
        <v>4</v>
      </c>
      <c r="E119" s="14" t="s">
        <v>318</v>
      </c>
      <c r="F119" s="11">
        <v>3</v>
      </c>
      <c r="G119" s="11">
        <v>5</v>
      </c>
      <c r="H119" s="11" t="s">
        <v>69</v>
      </c>
      <c r="I119" s="11"/>
    </row>
    <row r="120" spans="1:9" ht="12.75">
      <c r="A120" s="4" t="s">
        <v>438</v>
      </c>
      <c r="B120" s="12" t="s">
        <v>199</v>
      </c>
      <c r="C120" s="11" t="s">
        <v>19</v>
      </c>
      <c r="D120" s="12">
        <v>4</v>
      </c>
      <c r="E120" s="14" t="s">
        <v>318</v>
      </c>
      <c r="F120" s="11">
        <v>3</v>
      </c>
      <c r="G120" s="11">
        <v>5</v>
      </c>
      <c r="H120" s="11" t="s">
        <v>69</v>
      </c>
      <c r="I120" s="11"/>
    </row>
    <row r="121" spans="1:9" ht="12.75">
      <c r="A121" s="4" t="s">
        <v>438</v>
      </c>
      <c r="B121" s="12" t="s">
        <v>200</v>
      </c>
      <c r="C121" s="11" t="s">
        <v>37</v>
      </c>
      <c r="D121" s="12">
        <v>4</v>
      </c>
      <c r="E121" s="14" t="s">
        <v>318</v>
      </c>
      <c r="F121" s="11">
        <v>3</v>
      </c>
      <c r="G121" s="11">
        <v>5</v>
      </c>
      <c r="H121" s="11" t="s">
        <v>69</v>
      </c>
      <c r="I121" s="11"/>
    </row>
    <row r="122" spans="1:9" ht="12.75">
      <c r="A122" s="4" t="s">
        <v>438</v>
      </c>
      <c r="B122" s="12" t="s">
        <v>201</v>
      </c>
      <c r="C122" s="11" t="s">
        <v>37</v>
      </c>
      <c r="D122" s="12">
        <v>4</v>
      </c>
      <c r="E122" s="14" t="s">
        <v>318</v>
      </c>
      <c r="F122" s="11">
        <v>3</v>
      </c>
      <c r="G122" s="11">
        <v>5</v>
      </c>
      <c r="H122" s="11" t="s">
        <v>69</v>
      </c>
      <c r="I122" s="11"/>
    </row>
    <row r="123" spans="1:9" ht="12.75">
      <c r="A123" s="4" t="s">
        <v>438</v>
      </c>
      <c r="B123" s="12" t="s">
        <v>202</v>
      </c>
      <c r="C123" s="11" t="s">
        <v>37</v>
      </c>
      <c r="D123" s="12">
        <v>4</v>
      </c>
      <c r="E123" s="14" t="s">
        <v>318</v>
      </c>
      <c r="F123" s="11">
        <v>3</v>
      </c>
      <c r="G123" s="11">
        <v>5</v>
      </c>
      <c r="H123" s="11" t="s">
        <v>69</v>
      </c>
      <c r="I123" s="11"/>
    </row>
    <row r="124" spans="1:9" ht="12.75">
      <c r="A124" s="4" t="s">
        <v>438</v>
      </c>
      <c r="B124" s="12" t="s">
        <v>203</v>
      </c>
      <c r="C124" s="11" t="s">
        <v>37</v>
      </c>
      <c r="D124" s="12">
        <v>4</v>
      </c>
      <c r="E124" s="14" t="s">
        <v>318</v>
      </c>
      <c r="F124" s="11">
        <v>3</v>
      </c>
      <c r="G124" s="11">
        <v>5</v>
      </c>
      <c r="H124" s="11" t="s">
        <v>69</v>
      </c>
      <c r="I124" s="11"/>
    </row>
    <row r="125" spans="1:9" ht="12.75">
      <c r="A125" s="4" t="s">
        <v>438</v>
      </c>
      <c r="B125" s="12" t="s">
        <v>204</v>
      </c>
      <c r="C125" s="11" t="s">
        <v>37</v>
      </c>
      <c r="D125" s="12">
        <v>4</v>
      </c>
      <c r="E125" s="14" t="s">
        <v>318</v>
      </c>
      <c r="F125" s="11">
        <v>3</v>
      </c>
      <c r="G125" s="11">
        <v>5</v>
      </c>
      <c r="H125" s="11" t="s">
        <v>69</v>
      </c>
      <c r="I125" s="11"/>
    </row>
    <row r="126" spans="1:9" ht="12.75">
      <c r="A126" s="4" t="s">
        <v>438</v>
      </c>
      <c r="B126" s="12" t="s">
        <v>205</v>
      </c>
      <c r="C126" s="11" t="s">
        <v>37</v>
      </c>
      <c r="D126" s="12">
        <v>4</v>
      </c>
      <c r="E126" s="14" t="s">
        <v>318</v>
      </c>
      <c r="F126" s="11">
        <v>3</v>
      </c>
      <c r="G126" s="11">
        <v>5</v>
      </c>
      <c r="H126" s="11" t="s">
        <v>69</v>
      </c>
      <c r="I126" s="11"/>
    </row>
    <row r="127" spans="1:9" ht="12.75">
      <c r="A127" s="4" t="s">
        <v>438</v>
      </c>
      <c r="B127" s="12" t="s">
        <v>206</v>
      </c>
      <c r="C127" s="11" t="s">
        <v>37</v>
      </c>
      <c r="D127" s="12">
        <v>4</v>
      </c>
      <c r="E127" s="14" t="s">
        <v>318</v>
      </c>
      <c r="F127" s="11">
        <v>3</v>
      </c>
      <c r="G127" s="11">
        <v>5</v>
      </c>
      <c r="H127" s="11" t="s">
        <v>69</v>
      </c>
      <c r="I127" s="11"/>
    </row>
    <row r="128" spans="1:9" ht="12.75">
      <c r="A128" s="4" t="s">
        <v>438</v>
      </c>
      <c r="B128" s="12" t="s">
        <v>207</v>
      </c>
      <c r="C128" s="11" t="s">
        <v>37</v>
      </c>
      <c r="D128" s="12">
        <v>4</v>
      </c>
      <c r="E128" s="14" t="s">
        <v>318</v>
      </c>
      <c r="F128" s="11">
        <v>3</v>
      </c>
      <c r="G128" s="11">
        <v>5</v>
      </c>
      <c r="H128" s="11" t="s">
        <v>69</v>
      </c>
      <c r="I128" s="11"/>
    </row>
    <row r="129" spans="1:9" ht="12.75">
      <c r="A129" s="4" t="s">
        <v>438</v>
      </c>
      <c r="B129" s="12" t="s">
        <v>208</v>
      </c>
      <c r="C129" s="11" t="s">
        <v>37</v>
      </c>
      <c r="D129" s="12">
        <v>4</v>
      </c>
      <c r="E129" s="14" t="s">
        <v>318</v>
      </c>
      <c r="F129" s="11">
        <v>3</v>
      </c>
      <c r="G129" s="11">
        <v>5</v>
      </c>
      <c r="H129" s="11" t="s">
        <v>69</v>
      </c>
      <c r="I129" s="11" t="s">
        <v>500</v>
      </c>
    </row>
    <row r="130" spans="1:9" ht="12.75">
      <c r="A130" s="4" t="s">
        <v>438</v>
      </c>
      <c r="B130" s="12" t="s">
        <v>209</v>
      </c>
      <c r="C130" s="11" t="s">
        <v>37</v>
      </c>
      <c r="D130" s="12">
        <v>4</v>
      </c>
      <c r="E130" s="14" t="s">
        <v>318</v>
      </c>
      <c r="F130" s="11">
        <v>3</v>
      </c>
      <c r="G130" s="11">
        <v>5</v>
      </c>
      <c r="H130" s="11" t="s">
        <v>69</v>
      </c>
      <c r="I130" s="11" t="s">
        <v>500</v>
      </c>
    </row>
    <row r="131" spans="1:9" ht="12.75">
      <c r="A131" s="4" t="s">
        <v>438</v>
      </c>
      <c r="B131" s="12" t="s">
        <v>210</v>
      </c>
      <c r="C131" s="11" t="s">
        <v>37</v>
      </c>
      <c r="D131" s="12">
        <v>4</v>
      </c>
      <c r="E131" s="14" t="s">
        <v>318</v>
      </c>
      <c r="F131" s="11">
        <v>3</v>
      </c>
      <c r="G131" s="11">
        <v>5</v>
      </c>
      <c r="H131" s="11" t="s">
        <v>69</v>
      </c>
      <c r="I131" s="11" t="s">
        <v>500</v>
      </c>
    </row>
    <row r="132" spans="1:9" ht="12.75">
      <c r="A132" s="4" t="s">
        <v>438</v>
      </c>
      <c r="B132" s="12" t="s">
        <v>211</v>
      </c>
      <c r="C132" s="11" t="s">
        <v>37</v>
      </c>
      <c r="D132" s="12">
        <v>4</v>
      </c>
      <c r="E132" s="14" t="s">
        <v>318</v>
      </c>
      <c r="F132" s="11">
        <v>3</v>
      </c>
      <c r="G132" s="11">
        <v>5</v>
      </c>
      <c r="H132" s="11" t="s">
        <v>69</v>
      </c>
      <c r="I132" s="11" t="s">
        <v>500</v>
      </c>
    </row>
    <row r="133" spans="1:9" ht="12.75">
      <c r="A133" s="4" t="s">
        <v>438</v>
      </c>
      <c r="B133" s="12" t="s">
        <v>212</v>
      </c>
      <c r="C133" s="11" t="s">
        <v>37</v>
      </c>
      <c r="D133" s="12">
        <v>4</v>
      </c>
      <c r="E133" s="14" t="s">
        <v>318</v>
      </c>
      <c r="F133" s="11">
        <v>3</v>
      </c>
      <c r="G133" s="11">
        <v>5</v>
      </c>
      <c r="H133" s="11" t="s">
        <v>69</v>
      </c>
      <c r="I133" s="11" t="s">
        <v>500</v>
      </c>
    </row>
    <row r="134" spans="1:9" ht="12.75">
      <c r="A134" s="4" t="s">
        <v>438</v>
      </c>
      <c r="B134" s="12" t="s">
        <v>213</v>
      </c>
      <c r="C134" s="11" t="s">
        <v>37</v>
      </c>
      <c r="D134" s="12">
        <v>4</v>
      </c>
      <c r="E134" s="14" t="s">
        <v>318</v>
      </c>
      <c r="F134" s="11">
        <v>3</v>
      </c>
      <c r="G134" s="11">
        <v>5</v>
      </c>
      <c r="H134" s="11" t="s">
        <v>69</v>
      </c>
      <c r="I134" s="11" t="s">
        <v>500</v>
      </c>
    </row>
    <row r="135" spans="1:9" ht="12.75">
      <c r="A135" s="4" t="s">
        <v>438</v>
      </c>
      <c r="B135" s="12" t="s">
        <v>214</v>
      </c>
      <c r="C135" s="11" t="s">
        <v>37</v>
      </c>
      <c r="D135" s="12">
        <v>4</v>
      </c>
      <c r="E135" s="14" t="s">
        <v>318</v>
      </c>
      <c r="F135" s="11">
        <v>3</v>
      </c>
      <c r="G135" s="11">
        <v>5</v>
      </c>
      <c r="H135" s="11" t="s">
        <v>69</v>
      </c>
      <c r="I135" s="11" t="s">
        <v>500</v>
      </c>
    </row>
    <row r="136" spans="1:9" ht="12.75">
      <c r="A136" s="4" t="s">
        <v>438</v>
      </c>
      <c r="B136" s="12" t="s">
        <v>215</v>
      </c>
      <c r="C136" s="11" t="s">
        <v>37</v>
      </c>
      <c r="D136" s="12">
        <v>4</v>
      </c>
      <c r="E136" s="14" t="s">
        <v>318</v>
      </c>
      <c r="F136" s="11">
        <v>3</v>
      </c>
      <c r="G136" s="11">
        <v>5</v>
      </c>
      <c r="H136" s="11" t="s">
        <v>69</v>
      </c>
      <c r="I136" s="11" t="s">
        <v>500</v>
      </c>
    </row>
    <row r="137" spans="1:9" ht="12.75">
      <c r="A137" s="4" t="s">
        <v>438</v>
      </c>
      <c r="B137" s="12" t="s">
        <v>216</v>
      </c>
      <c r="C137" s="11" t="s">
        <v>38</v>
      </c>
      <c r="D137" s="12">
        <v>4</v>
      </c>
      <c r="E137" s="14" t="s">
        <v>318</v>
      </c>
      <c r="F137" s="11">
        <v>3</v>
      </c>
      <c r="G137" s="11">
        <v>5</v>
      </c>
      <c r="H137" s="11" t="s">
        <v>69</v>
      </c>
      <c r="I137" s="11" t="s">
        <v>500</v>
      </c>
    </row>
    <row r="138" spans="1:9" ht="12.75">
      <c r="A138" s="4" t="s">
        <v>438</v>
      </c>
      <c r="B138" s="12" t="s">
        <v>217</v>
      </c>
      <c r="C138" s="11" t="s">
        <v>38</v>
      </c>
      <c r="D138" s="12">
        <v>4</v>
      </c>
      <c r="E138" s="14" t="s">
        <v>318</v>
      </c>
      <c r="F138" s="11">
        <v>3</v>
      </c>
      <c r="G138" s="11">
        <v>5</v>
      </c>
      <c r="H138" s="11" t="s">
        <v>69</v>
      </c>
      <c r="I138" s="11" t="s">
        <v>500</v>
      </c>
    </row>
    <row r="139" spans="1:9" ht="12.75">
      <c r="A139" s="4" t="s">
        <v>438</v>
      </c>
      <c r="B139" s="12" t="s">
        <v>218</v>
      </c>
      <c r="C139" s="11" t="s">
        <v>38</v>
      </c>
      <c r="D139" s="12">
        <v>4</v>
      </c>
      <c r="E139" s="14" t="s">
        <v>318</v>
      </c>
      <c r="F139" s="11">
        <v>3</v>
      </c>
      <c r="G139" s="11">
        <v>5</v>
      </c>
      <c r="H139" s="11" t="s">
        <v>69</v>
      </c>
      <c r="I139" s="11" t="s">
        <v>500</v>
      </c>
    </row>
    <row r="140" spans="1:9" ht="12.75">
      <c r="A140" s="4" t="s">
        <v>438</v>
      </c>
      <c r="B140" s="12" t="s">
        <v>219</v>
      </c>
      <c r="C140" s="11" t="s">
        <v>38</v>
      </c>
      <c r="D140" s="12">
        <v>4</v>
      </c>
      <c r="E140" s="14" t="s">
        <v>318</v>
      </c>
      <c r="F140" s="11">
        <v>3</v>
      </c>
      <c r="G140" s="11">
        <v>5</v>
      </c>
      <c r="H140" s="11" t="s">
        <v>69</v>
      </c>
      <c r="I140" s="11" t="s">
        <v>500</v>
      </c>
    </row>
    <row r="141" spans="1:9" ht="12.75">
      <c r="A141" s="4" t="s">
        <v>438</v>
      </c>
      <c r="B141" s="12" t="s">
        <v>220</v>
      </c>
      <c r="C141" s="11" t="s">
        <v>38</v>
      </c>
      <c r="D141" s="12">
        <v>4</v>
      </c>
      <c r="E141" s="14" t="s">
        <v>318</v>
      </c>
      <c r="F141" s="11">
        <v>3</v>
      </c>
      <c r="G141" s="11">
        <v>5</v>
      </c>
      <c r="H141" s="11" t="s">
        <v>69</v>
      </c>
      <c r="I141" s="11" t="s">
        <v>500</v>
      </c>
    </row>
    <row r="142" spans="1:9" ht="12.75">
      <c r="A142" s="4" t="s">
        <v>438</v>
      </c>
      <c r="B142" s="12" t="s">
        <v>221</v>
      </c>
      <c r="C142" s="11" t="s">
        <v>38</v>
      </c>
      <c r="D142" s="12">
        <v>4</v>
      </c>
      <c r="E142" s="14" t="s">
        <v>318</v>
      </c>
      <c r="F142" s="11">
        <v>3</v>
      </c>
      <c r="G142" s="11">
        <v>5</v>
      </c>
      <c r="H142" s="11" t="s">
        <v>69</v>
      </c>
      <c r="I142" s="11" t="s">
        <v>500</v>
      </c>
    </row>
    <row r="143" spans="1:9" ht="12.75">
      <c r="A143" s="4" t="s">
        <v>438</v>
      </c>
      <c r="B143" s="12" t="s">
        <v>222</v>
      </c>
      <c r="C143" s="11" t="s">
        <v>38</v>
      </c>
      <c r="D143" s="12">
        <v>4</v>
      </c>
      <c r="E143" s="14" t="s">
        <v>318</v>
      </c>
      <c r="F143" s="11">
        <v>3</v>
      </c>
      <c r="G143" s="11">
        <v>5</v>
      </c>
      <c r="H143" s="11" t="s">
        <v>69</v>
      </c>
      <c r="I143" s="11" t="s">
        <v>500</v>
      </c>
    </row>
    <row r="144" spans="1:9" ht="12.75">
      <c r="A144" s="4" t="s">
        <v>438</v>
      </c>
      <c r="B144" s="12" t="s">
        <v>223</v>
      </c>
      <c r="C144" s="11" t="s">
        <v>38</v>
      </c>
      <c r="D144" s="12">
        <v>4</v>
      </c>
      <c r="E144" s="14" t="s">
        <v>318</v>
      </c>
      <c r="F144" s="11">
        <v>3</v>
      </c>
      <c r="G144" s="11">
        <v>5</v>
      </c>
      <c r="H144" s="11" t="s">
        <v>69</v>
      </c>
      <c r="I144" s="11" t="s">
        <v>500</v>
      </c>
    </row>
    <row r="145" spans="1:9" ht="12.75">
      <c r="A145" s="4" t="s">
        <v>441</v>
      </c>
      <c r="B145" s="12" t="s">
        <v>224</v>
      </c>
      <c r="C145" s="11" t="s">
        <v>19</v>
      </c>
      <c r="D145" s="12">
        <v>4</v>
      </c>
      <c r="E145" s="14" t="s">
        <v>318</v>
      </c>
      <c r="F145" s="11">
        <v>3</v>
      </c>
      <c r="G145" s="11">
        <v>5</v>
      </c>
      <c r="H145" s="11" t="s">
        <v>69</v>
      </c>
      <c r="I145" s="11"/>
    </row>
    <row r="146" spans="1:9" ht="12.75">
      <c r="A146" s="4" t="s">
        <v>441</v>
      </c>
      <c r="B146" s="12" t="s">
        <v>225</v>
      </c>
      <c r="C146" s="11" t="s">
        <v>37</v>
      </c>
      <c r="D146" s="12">
        <v>4</v>
      </c>
      <c r="E146" s="14" t="s">
        <v>318</v>
      </c>
      <c r="F146" s="11">
        <v>3</v>
      </c>
      <c r="G146" s="11">
        <v>5</v>
      </c>
      <c r="H146" s="11" t="s">
        <v>69</v>
      </c>
      <c r="I146" s="11"/>
    </row>
    <row r="147" spans="1:9" ht="12.75">
      <c r="A147" s="4" t="s">
        <v>441</v>
      </c>
      <c r="B147" s="12" t="s">
        <v>226</v>
      </c>
      <c r="C147" s="11" t="s">
        <v>38</v>
      </c>
      <c r="D147" s="12">
        <v>4</v>
      </c>
      <c r="E147" s="14" t="s">
        <v>318</v>
      </c>
      <c r="F147" s="11">
        <v>3</v>
      </c>
      <c r="G147" s="11">
        <v>5</v>
      </c>
      <c r="H147" s="11" t="s">
        <v>69</v>
      </c>
      <c r="I147" s="11"/>
    </row>
    <row r="148" spans="1:9" ht="12.75">
      <c r="A148" s="4" t="s">
        <v>442</v>
      </c>
      <c r="B148" s="12" t="s">
        <v>228</v>
      </c>
      <c r="C148" s="11" t="s">
        <v>19</v>
      </c>
      <c r="D148" s="12">
        <v>3</v>
      </c>
      <c r="E148" s="13" t="s">
        <v>229</v>
      </c>
      <c r="F148" s="11">
        <v>2</v>
      </c>
      <c r="G148" s="11">
        <v>4</v>
      </c>
      <c r="H148" s="11" t="s">
        <v>161</v>
      </c>
      <c r="I148" s="11"/>
    </row>
    <row r="149" spans="1:9" ht="12.75">
      <c r="A149" s="4" t="s">
        <v>442</v>
      </c>
      <c r="B149" s="12" t="s">
        <v>230</v>
      </c>
      <c r="C149" s="11" t="s">
        <v>19</v>
      </c>
      <c r="D149" s="12">
        <v>3</v>
      </c>
      <c r="E149" s="13" t="s">
        <v>229</v>
      </c>
      <c r="F149" s="11">
        <v>2</v>
      </c>
      <c r="G149" s="11">
        <v>4</v>
      </c>
      <c r="H149" s="11" t="s">
        <v>161</v>
      </c>
      <c r="I149" s="11"/>
    </row>
    <row r="150" spans="1:9" ht="12.75">
      <c r="A150" s="4" t="s">
        <v>442</v>
      </c>
      <c r="B150" s="12" t="s">
        <v>231</v>
      </c>
      <c r="C150" s="11" t="s">
        <v>37</v>
      </c>
      <c r="D150" s="12">
        <v>3</v>
      </c>
      <c r="E150" s="13" t="s">
        <v>229</v>
      </c>
      <c r="F150" s="11">
        <v>2</v>
      </c>
      <c r="G150" s="11">
        <v>4</v>
      </c>
      <c r="H150" s="11" t="s">
        <v>161</v>
      </c>
      <c r="I150" s="11"/>
    </row>
    <row r="151" spans="1:9" ht="12.75">
      <c r="A151" s="4" t="s">
        <v>442</v>
      </c>
      <c r="B151" s="12" t="s">
        <v>232</v>
      </c>
      <c r="C151" s="11" t="s">
        <v>37</v>
      </c>
      <c r="D151" s="12">
        <v>3</v>
      </c>
      <c r="E151" s="13" t="s">
        <v>229</v>
      </c>
      <c r="F151" s="11">
        <v>2</v>
      </c>
      <c r="G151" s="11">
        <v>4</v>
      </c>
      <c r="H151" s="11" t="s">
        <v>161</v>
      </c>
      <c r="I151" s="11"/>
    </row>
    <row r="152" spans="1:9" ht="12.75">
      <c r="A152" s="4" t="s">
        <v>442</v>
      </c>
      <c r="B152" s="12" t="s">
        <v>233</v>
      </c>
      <c r="C152" s="11" t="s">
        <v>37</v>
      </c>
      <c r="D152" s="12">
        <v>3</v>
      </c>
      <c r="E152" s="13" t="s">
        <v>229</v>
      </c>
      <c r="F152" s="11">
        <v>2</v>
      </c>
      <c r="G152" s="11">
        <v>4</v>
      </c>
      <c r="H152" s="11" t="s">
        <v>161</v>
      </c>
      <c r="I152" s="11"/>
    </row>
    <row r="153" spans="1:9" ht="12.75">
      <c r="A153" s="4" t="s">
        <v>442</v>
      </c>
      <c r="B153" s="12" t="s">
        <v>234</v>
      </c>
      <c r="C153" s="11" t="s">
        <v>37</v>
      </c>
      <c r="D153" s="12">
        <v>3</v>
      </c>
      <c r="E153" s="13" t="s">
        <v>229</v>
      </c>
      <c r="F153" s="11">
        <v>2</v>
      </c>
      <c r="G153" s="11">
        <v>4</v>
      </c>
      <c r="H153" s="11" t="s">
        <v>161</v>
      </c>
      <c r="I153" s="11"/>
    </row>
    <row r="154" spans="1:9" ht="12.75">
      <c r="A154" s="4" t="s">
        <v>442</v>
      </c>
      <c r="B154" s="12" t="s">
        <v>235</v>
      </c>
      <c r="C154" s="11" t="s">
        <v>37</v>
      </c>
      <c r="D154" s="12">
        <v>3</v>
      </c>
      <c r="E154" s="13" t="s">
        <v>229</v>
      </c>
      <c r="F154" s="11">
        <v>2</v>
      </c>
      <c r="G154" s="11">
        <v>4</v>
      </c>
      <c r="H154" s="11" t="s">
        <v>161</v>
      </c>
      <c r="I154" s="11"/>
    </row>
    <row r="155" spans="1:9" ht="12.75">
      <c r="A155" s="4" t="s">
        <v>442</v>
      </c>
      <c r="B155" s="12" t="s">
        <v>236</v>
      </c>
      <c r="C155" s="11" t="s">
        <v>37</v>
      </c>
      <c r="D155" s="12">
        <v>3</v>
      </c>
      <c r="E155" s="13" t="s">
        <v>229</v>
      </c>
      <c r="F155" s="11">
        <v>2</v>
      </c>
      <c r="G155" s="11">
        <v>4</v>
      </c>
      <c r="H155" s="11" t="s">
        <v>161</v>
      </c>
      <c r="I155" s="11"/>
    </row>
    <row r="156" spans="1:9" ht="12.75">
      <c r="A156" s="4" t="s">
        <v>442</v>
      </c>
      <c r="B156" s="12" t="s">
        <v>237</v>
      </c>
      <c r="C156" s="11" t="s">
        <v>38</v>
      </c>
      <c r="D156" s="12">
        <v>3</v>
      </c>
      <c r="E156" s="13" t="s">
        <v>229</v>
      </c>
      <c r="F156" s="11">
        <v>2</v>
      </c>
      <c r="G156" s="11">
        <v>4</v>
      </c>
      <c r="H156" s="11" t="s">
        <v>161</v>
      </c>
      <c r="I156" s="11"/>
    </row>
    <row r="157" spans="1:9" ht="12.75">
      <c r="A157" s="4" t="s">
        <v>442</v>
      </c>
      <c r="B157" s="12" t="s">
        <v>238</v>
      </c>
      <c r="C157" s="11" t="s">
        <v>38</v>
      </c>
      <c r="D157" s="12">
        <v>3</v>
      </c>
      <c r="E157" s="13" t="s">
        <v>229</v>
      </c>
      <c r="F157" s="11">
        <v>2</v>
      </c>
      <c r="G157" s="11">
        <v>4</v>
      </c>
      <c r="H157" s="11" t="s">
        <v>161</v>
      </c>
      <c r="I157" s="11"/>
    </row>
    <row r="158" spans="1:9" ht="12.75">
      <c r="A158" s="4" t="s">
        <v>20</v>
      </c>
      <c r="B158" s="12" t="s">
        <v>240</v>
      </c>
      <c r="C158" s="11" t="s">
        <v>37</v>
      </c>
      <c r="D158" s="12">
        <v>4</v>
      </c>
      <c r="E158" s="14" t="s">
        <v>318</v>
      </c>
      <c r="F158" s="11">
        <v>3</v>
      </c>
      <c r="G158" s="11">
        <v>5</v>
      </c>
      <c r="H158" s="11" t="s">
        <v>69</v>
      </c>
      <c r="I158" s="11" t="s">
        <v>501</v>
      </c>
    </row>
    <row r="159" spans="1:9" ht="12.75">
      <c r="A159" s="4" t="s">
        <v>20</v>
      </c>
      <c r="B159" s="12" t="s">
        <v>241</v>
      </c>
      <c r="C159" s="11" t="s">
        <v>37</v>
      </c>
      <c r="D159" s="12">
        <v>4</v>
      </c>
      <c r="E159" s="14" t="s">
        <v>318</v>
      </c>
      <c r="F159" s="11">
        <v>3</v>
      </c>
      <c r="G159" s="11">
        <v>5</v>
      </c>
      <c r="H159" s="11" t="s">
        <v>69</v>
      </c>
      <c r="I159" s="11" t="s">
        <v>501</v>
      </c>
    </row>
    <row r="160" spans="1:9" ht="12.75">
      <c r="A160" s="4" t="s">
        <v>20</v>
      </c>
      <c r="B160" s="12" t="s">
        <v>242</v>
      </c>
      <c r="C160" s="11" t="s">
        <v>37</v>
      </c>
      <c r="D160" s="12">
        <v>4</v>
      </c>
      <c r="E160" s="14" t="s">
        <v>318</v>
      </c>
      <c r="F160" s="11">
        <v>3</v>
      </c>
      <c r="G160" s="11">
        <v>5</v>
      </c>
      <c r="H160" s="11" t="s">
        <v>69</v>
      </c>
      <c r="I160" s="11" t="s">
        <v>501</v>
      </c>
    </row>
    <row r="161" spans="1:9" ht="12.75">
      <c r="A161" s="4" t="s">
        <v>20</v>
      </c>
      <c r="B161" s="12" t="s">
        <v>243</v>
      </c>
      <c r="C161" s="11" t="s">
        <v>37</v>
      </c>
      <c r="D161" s="12">
        <v>4</v>
      </c>
      <c r="E161" s="14" t="s">
        <v>318</v>
      </c>
      <c r="F161" s="11">
        <v>3</v>
      </c>
      <c r="G161" s="11">
        <v>5</v>
      </c>
      <c r="H161" s="11" t="s">
        <v>69</v>
      </c>
      <c r="I161" s="11" t="s">
        <v>501</v>
      </c>
    </row>
    <row r="162" spans="1:9" ht="12.75">
      <c r="A162" s="4" t="s">
        <v>20</v>
      </c>
      <c r="B162" s="12" t="s">
        <v>244</v>
      </c>
      <c r="C162" s="11" t="s">
        <v>37</v>
      </c>
      <c r="D162" s="12">
        <v>4</v>
      </c>
      <c r="E162" s="14" t="s">
        <v>318</v>
      </c>
      <c r="F162" s="11">
        <v>3</v>
      </c>
      <c r="G162" s="11">
        <v>5</v>
      </c>
      <c r="H162" s="11" t="s">
        <v>69</v>
      </c>
      <c r="I162" s="11" t="s">
        <v>501</v>
      </c>
    </row>
    <row r="163" spans="1:9" ht="12.75">
      <c r="A163" s="4" t="s">
        <v>425</v>
      </c>
      <c r="B163" s="12" t="s">
        <v>245</v>
      </c>
      <c r="C163" s="11" t="s">
        <v>37</v>
      </c>
      <c r="D163" s="12">
        <v>4</v>
      </c>
      <c r="E163" s="14" t="s">
        <v>318</v>
      </c>
      <c r="F163" s="11">
        <v>3</v>
      </c>
      <c r="G163" s="11">
        <v>5</v>
      </c>
      <c r="H163" s="11" t="s">
        <v>69</v>
      </c>
      <c r="I163" s="11" t="s">
        <v>501</v>
      </c>
    </row>
    <row r="164" spans="1:9" ht="12.75">
      <c r="A164" s="4" t="s">
        <v>425</v>
      </c>
      <c r="B164" s="12" t="s">
        <v>246</v>
      </c>
      <c r="C164" s="11" t="s">
        <v>37</v>
      </c>
      <c r="D164" s="12">
        <v>4</v>
      </c>
      <c r="E164" s="14" t="s">
        <v>318</v>
      </c>
      <c r="F164" s="11">
        <v>3</v>
      </c>
      <c r="G164" s="11">
        <v>5</v>
      </c>
      <c r="H164" s="11" t="s">
        <v>69</v>
      </c>
      <c r="I164" s="11" t="s">
        <v>501</v>
      </c>
    </row>
    <row r="165" spans="1:9" ht="12.75">
      <c r="A165" s="4" t="s">
        <v>425</v>
      </c>
      <c r="B165" s="12" t="s">
        <v>247</v>
      </c>
      <c r="C165" s="11" t="s">
        <v>37</v>
      </c>
      <c r="D165" s="12">
        <v>4</v>
      </c>
      <c r="E165" s="14" t="s">
        <v>318</v>
      </c>
      <c r="F165" s="11">
        <v>3</v>
      </c>
      <c r="G165" s="11">
        <v>5</v>
      </c>
      <c r="H165" s="11" t="s">
        <v>69</v>
      </c>
      <c r="I165" s="11" t="s">
        <v>501</v>
      </c>
    </row>
    <row r="166" spans="1:9" ht="12.75">
      <c r="A166" s="4" t="s">
        <v>425</v>
      </c>
      <c r="B166" s="12" t="s">
        <v>248</v>
      </c>
      <c r="C166" s="11" t="s">
        <v>37</v>
      </c>
      <c r="D166" s="12">
        <v>4</v>
      </c>
      <c r="E166" s="14" t="s">
        <v>318</v>
      </c>
      <c r="F166" s="11">
        <v>3</v>
      </c>
      <c r="G166" s="11">
        <v>5</v>
      </c>
      <c r="H166" s="11" t="s">
        <v>69</v>
      </c>
      <c r="I166" s="11" t="s">
        <v>501</v>
      </c>
    </row>
    <row r="167" spans="1:9" ht="12.75">
      <c r="A167" s="4" t="s">
        <v>425</v>
      </c>
      <c r="B167" s="12" t="s">
        <v>249</v>
      </c>
      <c r="C167" s="11" t="s">
        <v>37</v>
      </c>
      <c r="D167" s="12">
        <v>4</v>
      </c>
      <c r="E167" s="14" t="s">
        <v>318</v>
      </c>
      <c r="F167" s="11">
        <v>3</v>
      </c>
      <c r="G167" s="11">
        <v>5</v>
      </c>
      <c r="H167" s="11" t="s">
        <v>69</v>
      </c>
      <c r="I167" s="11" t="s">
        <v>501</v>
      </c>
    </row>
    <row r="168" spans="1:9" ht="12.75">
      <c r="A168" s="4" t="s">
        <v>425</v>
      </c>
      <c r="B168" s="12" t="s">
        <v>250</v>
      </c>
      <c r="C168" s="11" t="s">
        <v>38</v>
      </c>
      <c r="D168" s="12">
        <v>4</v>
      </c>
      <c r="E168" s="14" t="s">
        <v>318</v>
      </c>
      <c r="F168" s="11">
        <v>3</v>
      </c>
      <c r="G168" s="11">
        <v>5</v>
      </c>
      <c r="H168" s="11" t="s">
        <v>69</v>
      </c>
      <c r="I168" s="11" t="s">
        <v>501</v>
      </c>
    </row>
    <row r="169" spans="1:9" ht="12.75">
      <c r="A169" s="4" t="s">
        <v>425</v>
      </c>
      <c r="B169" s="12" t="s">
        <v>251</v>
      </c>
      <c r="C169" s="11" t="s">
        <v>38</v>
      </c>
      <c r="D169" s="12">
        <v>4</v>
      </c>
      <c r="E169" s="14" t="s">
        <v>318</v>
      </c>
      <c r="F169" s="11">
        <v>3</v>
      </c>
      <c r="G169" s="11">
        <v>5</v>
      </c>
      <c r="H169" s="11" t="s">
        <v>69</v>
      </c>
      <c r="I169" s="11" t="s">
        <v>501</v>
      </c>
    </row>
    <row r="170" spans="1:9" ht="12.75">
      <c r="A170" s="4" t="s">
        <v>425</v>
      </c>
      <c r="B170" s="12" t="s">
        <v>252</v>
      </c>
      <c r="C170" s="11" t="s">
        <v>38</v>
      </c>
      <c r="D170" s="12">
        <v>4</v>
      </c>
      <c r="E170" s="14" t="s">
        <v>318</v>
      </c>
      <c r="F170" s="11">
        <v>3</v>
      </c>
      <c r="G170" s="11">
        <v>5</v>
      </c>
      <c r="H170" s="11" t="s">
        <v>69</v>
      </c>
      <c r="I170" s="11" t="s">
        <v>501</v>
      </c>
    </row>
    <row r="171" spans="1:9" ht="12.75">
      <c r="A171" s="4" t="s">
        <v>425</v>
      </c>
      <c r="B171" s="12" t="s">
        <v>253</v>
      </c>
      <c r="C171" s="11" t="s">
        <v>38</v>
      </c>
      <c r="D171" s="12">
        <v>4</v>
      </c>
      <c r="E171" s="14" t="s">
        <v>318</v>
      </c>
      <c r="F171" s="11">
        <v>3</v>
      </c>
      <c r="G171" s="11">
        <v>5</v>
      </c>
      <c r="H171" s="11" t="s">
        <v>69</v>
      </c>
      <c r="I171" s="11" t="s">
        <v>501</v>
      </c>
    </row>
    <row r="172" spans="1:9" ht="12.75">
      <c r="A172" s="4" t="s">
        <v>40</v>
      </c>
      <c r="B172" s="12" t="s">
        <v>254</v>
      </c>
      <c r="C172" s="11" t="s">
        <v>37</v>
      </c>
      <c r="D172" s="12">
        <v>4</v>
      </c>
      <c r="E172" s="14" t="s">
        <v>318</v>
      </c>
      <c r="F172" s="11">
        <v>3</v>
      </c>
      <c r="G172" s="11">
        <v>5</v>
      </c>
      <c r="H172" s="11" t="s">
        <v>69</v>
      </c>
      <c r="I172" s="11" t="s">
        <v>501</v>
      </c>
    </row>
    <row r="173" spans="1:9" ht="12.75">
      <c r="A173" s="4" t="s">
        <v>426</v>
      </c>
      <c r="B173" s="12" t="s">
        <v>256</v>
      </c>
      <c r="C173" s="11" t="s">
        <v>37</v>
      </c>
      <c r="D173" s="12">
        <v>3</v>
      </c>
      <c r="E173" s="14" t="s">
        <v>318</v>
      </c>
      <c r="F173" s="11">
        <v>2</v>
      </c>
      <c r="G173" s="11">
        <v>4</v>
      </c>
      <c r="H173" s="11" t="s">
        <v>161</v>
      </c>
      <c r="I173" s="11" t="s">
        <v>502</v>
      </c>
    </row>
    <row r="174" spans="1:9" ht="12.75">
      <c r="A174" s="4" t="s">
        <v>426</v>
      </c>
      <c r="B174" s="12" t="s">
        <v>257</v>
      </c>
      <c r="C174" s="11" t="s">
        <v>37</v>
      </c>
      <c r="D174" s="12">
        <v>3</v>
      </c>
      <c r="E174" s="14" t="s">
        <v>318</v>
      </c>
      <c r="F174" s="11">
        <v>2</v>
      </c>
      <c r="G174" s="11">
        <v>4</v>
      </c>
      <c r="H174" s="11" t="s">
        <v>161</v>
      </c>
      <c r="I174" s="11" t="s">
        <v>502</v>
      </c>
    </row>
    <row r="175" spans="1:9" ht="12.75">
      <c r="A175" s="4" t="s">
        <v>426</v>
      </c>
      <c r="B175" s="12" t="s">
        <v>258</v>
      </c>
      <c r="C175" s="11" t="s">
        <v>37</v>
      </c>
      <c r="D175" s="12">
        <v>3</v>
      </c>
      <c r="E175" s="14" t="s">
        <v>318</v>
      </c>
      <c r="F175" s="11">
        <v>2</v>
      </c>
      <c r="G175" s="11">
        <v>4</v>
      </c>
      <c r="H175" s="11" t="s">
        <v>161</v>
      </c>
      <c r="I175" s="11" t="s">
        <v>502</v>
      </c>
    </row>
    <row r="176" spans="1:9" ht="12.75">
      <c r="A176" s="4" t="s">
        <v>426</v>
      </c>
      <c r="B176" s="12" t="s">
        <v>259</v>
      </c>
      <c r="C176" s="11" t="s">
        <v>37</v>
      </c>
      <c r="D176" s="12">
        <v>3</v>
      </c>
      <c r="E176" s="14" t="s">
        <v>318</v>
      </c>
      <c r="F176" s="11">
        <v>2</v>
      </c>
      <c r="G176" s="11">
        <v>4</v>
      </c>
      <c r="H176" s="11" t="s">
        <v>161</v>
      </c>
      <c r="I176" s="11" t="s">
        <v>502</v>
      </c>
    </row>
    <row r="177" spans="1:9" ht="12.75">
      <c r="A177" s="4" t="s">
        <v>426</v>
      </c>
      <c r="B177" s="12" t="s">
        <v>260</v>
      </c>
      <c r="C177" s="11" t="s">
        <v>37</v>
      </c>
      <c r="D177" s="12">
        <v>3</v>
      </c>
      <c r="E177" s="14" t="s">
        <v>318</v>
      </c>
      <c r="F177" s="11">
        <v>2</v>
      </c>
      <c r="G177" s="11">
        <v>4</v>
      </c>
      <c r="H177" s="11" t="s">
        <v>161</v>
      </c>
      <c r="I177" s="11" t="s">
        <v>502</v>
      </c>
    </row>
    <row r="178" spans="1:9" ht="12.75">
      <c r="A178" s="4" t="s">
        <v>426</v>
      </c>
      <c r="B178" s="12" t="s">
        <v>261</v>
      </c>
      <c r="C178" s="11" t="s">
        <v>37</v>
      </c>
      <c r="D178" s="12">
        <v>3</v>
      </c>
      <c r="E178" s="14" t="s">
        <v>318</v>
      </c>
      <c r="F178" s="11">
        <v>2</v>
      </c>
      <c r="G178" s="11">
        <v>4</v>
      </c>
      <c r="H178" s="11" t="s">
        <v>161</v>
      </c>
      <c r="I178" s="11" t="s">
        <v>502</v>
      </c>
    </row>
    <row r="179" spans="1:9" ht="12.75">
      <c r="A179" s="4" t="s">
        <v>426</v>
      </c>
      <c r="B179" s="12" t="s">
        <v>262</v>
      </c>
      <c r="C179" s="11" t="s">
        <v>37</v>
      </c>
      <c r="D179" s="12">
        <v>3</v>
      </c>
      <c r="E179" s="14" t="s">
        <v>318</v>
      </c>
      <c r="F179" s="11">
        <v>2</v>
      </c>
      <c r="G179" s="11">
        <v>4</v>
      </c>
      <c r="H179" s="11" t="s">
        <v>161</v>
      </c>
      <c r="I179" s="11" t="s">
        <v>502</v>
      </c>
    </row>
    <row r="180" spans="1:9" ht="12.75">
      <c r="A180" s="4" t="s">
        <v>426</v>
      </c>
      <c r="B180" s="12" t="s">
        <v>263</v>
      </c>
      <c r="C180" s="11" t="s">
        <v>37</v>
      </c>
      <c r="D180" s="12">
        <v>3</v>
      </c>
      <c r="E180" s="14" t="s">
        <v>318</v>
      </c>
      <c r="F180" s="11">
        <v>2</v>
      </c>
      <c r="G180" s="11">
        <v>4</v>
      </c>
      <c r="H180" s="11" t="s">
        <v>161</v>
      </c>
      <c r="I180" s="11" t="s">
        <v>502</v>
      </c>
    </row>
    <row r="181" spans="1:9" ht="12.75">
      <c r="A181" s="4" t="s">
        <v>426</v>
      </c>
      <c r="B181" s="12" t="s">
        <v>264</v>
      </c>
      <c r="C181" s="11" t="s">
        <v>37</v>
      </c>
      <c r="D181" s="12">
        <v>3</v>
      </c>
      <c r="E181" s="14" t="s">
        <v>318</v>
      </c>
      <c r="F181" s="11">
        <v>2</v>
      </c>
      <c r="G181" s="11">
        <v>4</v>
      </c>
      <c r="H181" s="11" t="s">
        <v>161</v>
      </c>
      <c r="I181" s="11" t="s">
        <v>502</v>
      </c>
    </row>
    <row r="182" spans="1:9" ht="12.75">
      <c r="A182" s="4" t="s">
        <v>426</v>
      </c>
      <c r="B182" s="12" t="s">
        <v>265</v>
      </c>
      <c r="C182" s="11" t="s">
        <v>37</v>
      </c>
      <c r="D182" s="12">
        <v>3</v>
      </c>
      <c r="E182" s="14" t="s">
        <v>318</v>
      </c>
      <c r="F182" s="11">
        <v>2</v>
      </c>
      <c r="G182" s="11">
        <v>4</v>
      </c>
      <c r="H182" s="11" t="s">
        <v>161</v>
      </c>
      <c r="I182" s="11" t="s">
        <v>502</v>
      </c>
    </row>
    <row r="183" spans="1:9" ht="12.75">
      <c r="A183" s="4" t="s">
        <v>426</v>
      </c>
      <c r="B183" s="12" t="s">
        <v>266</v>
      </c>
      <c r="C183" s="11" t="s">
        <v>38</v>
      </c>
      <c r="D183" s="12">
        <v>3</v>
      </c>
      <c r="E183" s="14" t="s">
        <v>318</v>
      </c>
      <c r="F183" s="11">
        <v>2</v>
      </c>
      <c r="G183" s="11">
        <v>4</v>
      </c>
      <c r="H183" s="11" t="s">
        <v>161</v>
      </c>
      <c r="I183" s="11" t="s">
        <v>502</v>
      </c>
    </row>
    <row r="184" spans="1:9" ht="12.75">
      <c r="A184" s="4" t="s">
        <v>426</v>
      </c>
      <c r="B184" s="12" t="s">
        <v>267</v>
      </c>
      <c r="C184" s="11" t="s">
        <v>38</v>
      </c>
      <c r="D184" s="12">
        <v>3</v>
      </c>
      <c r="E184" s="14" t="s">
        <v>318</v>
      </c>
      <c r="F184" s="11">
        <v>2</v>
      </c>
      <c r="G184" s="11">
        <v>4</v>
      </c>
      <c r="H184" s="11" t="s">
        <v>161</v>
      </c>
      <c r="I184" s="11" t="s">
        <v>502</v>
      </c>
    </row>
    <row r="185" spans="1:9" ht="12.75">
      <c r="A185" s="4" t="s">
        <v>426</v>
      </c>
      <c r="B185" s="12" t="s">
        <v>268</v>
      </c>
      <c r="C185" s="11" t="s">
        <v>38</v>
      </c>
      <c r="D185" s="12">
        <v>3</v>
      </c>
      <c r="E185" s="14" t="s">
        <v>318</v>
      </c>
      <c r="F185" s="11">
        <v>2</v>
      </c>
      <c r="G185" s="11">
        <v>4</v>
      </c>
      <c r="H185" s="11" t="s">
        <v>161</v>
      </c>
      <c r="I185" s="11" t="s">
        <v>502</v>
      </c>
    </row>
    <row r="186" spans="1:9" ht="12.75">
      <c r="A186" s="4" t="s">
        <v>427</v>
      </c>
      <c r="B186" s="12" t="s">
        <v>270</v>
      </c>
      <c r="C186" s="11" t="s">
        <v>37</v>
      </c>
      <c r="D186" s="12">
        <v>3</v>
      </c>
      <c r="E186" s="14" t="s">
        <v>318</v>
      </c>
      <c r="F186" s="11">
        <v>2</v>
      </c>
      <c r="G186" s="11">
        <v>4</v>
      </c>
      <c r="H186" s="11" t="s">
        <v>161</v>
      </c>
      <c r="I186" s="11" t="s">
        <v>503</v>
      </c>
    </row>
    <row r="187" spans="1:9" ht="12.75">
      <c r="A187" s="4" t="s">
        <v>427</v>
      </c>
      <c r="B187" s="12" t="s">
        <v>271</v>
      </c>
      <c r="C187" s="11" t="s">
        <v>37</v>
      </c>
      <c r="D187" s="12">
        <v>3</v>
      </c>
      <c r="E187" s="14" t="s">
        <v>318</v>
      </c>
      <c r="F187" s="11">
        <v>2</v>
      </c>
      <c r="G187" s="11">
        <v>4</v>
      </c>
      <c r="H187" s="11" t="s">
        <v>161</v>
      </c>
      <c r="I187" s="11" t="s">
        <v>503</v>
      </c>
    </row>
    <row r="188" spans="1:9" ht="12.75">
      <c r="A188" s="4" t="s">
        <v>427</v>
      </c>
      <c r="B188" s="12" t="s">
        <v>272</v>
      </c>
      <c r="C188" s="11" t="s">
        <v>37</v>
      </c>
      <c r="D188" s="12">
        <v>3</v>
      </c>
      <c r="E188" s="14" t="s">
        <v>318</v>
      </c>
      <c r="F188" s="11">
        <v>2</v>
      </c>
      <c r="G188" s="11">
        <v>4</v>
      </c>
      <c r="H188" s="11" t="s">
        <v>161</v>
      </c>
      <c r="I188" s="11" t="s">
        <v>503</v>
      </c>
    </row>
    <row r="189" spans="1:9" ht="12.75">
      <c r="A189" s="4" t="s">
        <v>427</v>
      </c>
      <c r="B189" s="12" t="s">
        <v>273</v>
      </c>
      <c r="C189" s="11" t="s">
        <v>37</v>
      </c>
      <c r="D189" s="12">
        <v>3</v>
      </c>
      <c r="E189" s="14" t="s">
        <v>318</v>
      </c>
      <c r="F189" s="11">
        <v>2</v>
      </c>
      <c r="G189" s="11">
        <v>4</v>
      </c>
      <c r="H189" s="11" t="s">
        <v>161</v>
      </c>
      <c r="I189" s="11" t="s">
        <v>503</v>
      </c>
    </row>
    <row r="190" spans="1:9" ht="12.75">
      <c r="A190" s="4" t="s">
        <v>427</v>
      </c>
      <c r="B190" s="12" t="s">
        <v>274</v>
      </c>
      <c r="C190" s="11" t="s">
        <v>37</v>
      </c>
      <c r="D190" s="12">
        <v>3</v>
      </c>
      <c r="E190" s="14" t="s">
        <v>318</v>
      </c>
      <c r="F190" s="11">
        <v>2</v>
      </c>
      <c r="G190" s="11">
        <v>4</v>
      </c>
      <c r="H190" s="11" t="s">
        <v>161</v>
      </c>
      <c r="I190" s="11" t="s">
        <v>503</v>
      </c>
    </row>
    <row r="191" spans="1:9" ht="12.75">
      <c r="A191" s="4" t="s">
        <v>427</v>
      </c>
      <c r="B191" s="12" t="s">
        <v>275</v>
      </c>
      <c r="C191" s="11" t="s">
        <v>37</v>
      </c>
      <c r="D191" s="12">
        <v>3</v>
      </c>
      <c r="E191" s="14" t="s">
        <v>318</v>
      </c>
      <c r="F191" s="11">
        <v>2</v>
      </c>
      <c r="G191" s="11">
        <v>4</v>
      </c>
      <c r="H191" s="11" t="s">
        <v>161</v>
      </c>
      <c r="I191" s="11" t="s">
        <v>503</v>
      </c>
    </row>
    <row r="192" spans="1:9" ht="12.75">
      <c r="A192" s="4" t="s">
        <v>427</v>
      </c>
      <c r="B192" s="12" t="s">
        <v>276</v>
      </c>
      <c r="C192" s="11" t="s">
        <v>37</v>
      </c>
      <c r="D192" s="12">
        <v>3</v>
      </c>
      <c r="E192" s="14" t="s">
        <v>318</v>
      </c>
      <c r="F192" s="11">
        <v>2</v>
      </c>
      <c r="G192" s="11">
        <v>4</v>
      </c>
      <c r="H192" s="11" t="s">
        <v>161</v>
      </c>
      <c r="I192" s="11" t="s">
        <v>503</v>
      </c>
    </row>
    <row r="193" spans="1:9" ht="12.75">
      <c r="A193" s="4" t="s">
        <v>427</v>
      </c>
      <c r="B193" s="12" t="s">
        <v>277</v>
      </c>
      <c r="C193" s="11" t="s">
        <v>37</v>
      </c>
      <c r="D193" s="12">
        <v>3</v>
      </c>
      <c r="E193" s="14" t="s">
        <v>318</v>
      </c>
      <c r="F193" s="11">
        <v>2</v>
      </c>
      <c r="G193" s="11">
        <v>4</v>
      </c>
      <c r="H193" s="11" t="s">
        <v>161</v>
      </c>
      <c r="I193" s="11" t="s">
        <v>503</v>
      </c>
    </row>
    <row r="194" spans="1:9" ht="12.75">
      <c r="A194" s="4" t="s">
        <v>427</v>
      </c>
      <c r="B194" s="12" t="s">
        <v>278</v>
      </c>
      <c r="C194" s="11" t="s">
        <v>37</v>
      </c>
      <c r="D194" s="12">
        <v>3</v>
      </c>
      <c r="E194" s="14" t="s">
        <v>318</v>
      </c>
      <c r="F194" s="11">
        <v>2</v>
      </c>
      <c r="G194" s="11">
        <v>4</v>
      </c>
      <c r="H194" s="11" t="s">
        <v>161</v>
      </c>
      <c r="I194" s="11" t="s">
        <v>503</v>
      </c>
    </row>
    <row r="195" spans="1:9" ht="12.75">
      <c r="A195" s="4" t="s">
        <v>427</v>
      </c>
      <c r="B195" s="12" t="s">
        <v>279</v>
      </c>
      <c r="C195" s="11" t="s">
        <v>37</v>
      </c>
      <c r="D195" s="12">
        <v>3</v>
      </c>
      <c r="E195" s="14" t="s">
        <v>318</v>
      </c>
      <c r="F195" s="11">
        <v>2</v>
      </c>
      <c r="G195" s="11">
        <v>4</v>
      </c>
      <c r="H195" s="11" t="s">
        <v>161</v>
      </c>
      <c r="I195" s="11" t="s">
        <v>503</v>
      </c>
    </row>
    <row r="196" spans="1:9" ht="12.75">
      <c r="A196" s="4" t="s">
        <v>427</v>
      </c>
      <c r="B196" s="12" t="s">
        <v>280</v>
      </c>
      <c r="C196" s="11" t="s">
        <v>37</v>
      </c>
      <c r="D196" s="12">
        <v>3</v>
      </c>
      <c r="E196" s="14" t="s">
        <v>318</v>
      </c>
      <c r="F196" s="11">
        <v>2</v>
      </c>
      <c r="G196" s="11">
        <v>4</v>
      </c>
      <c r="H196" s="11" t="s">
        <v>161</v>
      </c>
      <c r="I196" s="11" t="s">
        <v>503</v>
      </c>
    </row>
    <row r="197" spans="1:9" ht="12.75">
      <c r="A197" s="4" t="s">
        <v>427</v>
      </c>
      <c r="B197" s="12" t="s">
        <v>281</v>
      </c>
      <c r="C197" s="11" t="s">
        <v>37</v>
      </c>
      <c r="D197" s="12">
        <v>3</v>
      </c>
      <c r="E197" s="14" t="s">
        <v>318</v>
      </c>
      <c r="F197" s="11">
        <v>2</v>
      </c>
      <c r="G197" s="11">
        <v>4</v>
      </c>
      <c r="H197" s="11" t="s">
        <v>161</v>
      </c>
      <c r="I197" s="11" t="s">
        <v>503</v>
      </c>
    </row>
    <row r="198" spans="1:9" ht="12.75">
      <c r="A198" s="4" t="s">
        <v>427</v>
      </c>
      <c r="B198" s="12" t="s">
        <v>282</v>
      </c>
      <c r="C198" s="11" t="s">
        <v>37</v>
      </c>
      <c r="D198" s="12">
        <v>3</v>
      </c>
      <c r="E198" s="14" t="s">
        <v>318</v>
      </c>
      <c r="F198" s="11">
        <v>2</v>
      </c>
      <c r="G198" s="11">
        <v>4</v>
      </c>
      <c r="H198" s="11" t="s">
        <v>161</v>
      </c>
      <c r="I198" s="11" t="s">
        <v>503</v>
      </c>
    </row>
    <row r="199" spans="1:9" ht="12.75">
      <c r="A199" s="4" t="s">
        <v>427</v>
      </c>
      <c r="B199" s="12" t="s">
        <v>283</v>
      </c>
      <c r="C199" s="11" t="s">
        <v>37</v>
      </c>
      <c r="D199" s="12">
        <v>3</v>
      </c>
      <c r="E199" s="14" t="s">
        <v>318</v>
      </c>
      <c r="F199" s="11">
        <v>2</v>
      </c>
      <c r="G199" s="11">
        <v>4</v>
      </c>
      <c r="H199" s="11" t="s">
        <v>161</v>
      </c>
      <c r="I199" s="11" t="s">
        <v>503</v>
      </c>
    </row>
    <row r="200" spans="1:9" ht="12.75">
      <c r="A200" s="4" t="s">
        <v>427</v>
      </c>
      <c r="B200" s="12" t="s">
        <v>284</v>
      </c>
      <c r="C200" s="11" t="s">
        <v>37</v>
      </c>
      <c r="D200" s="12">
        <v>3</v>
      </c>
      <c r="E200" s="14" t="s">
        <v>318</v>
      </c>
      <c r="F200" s="11">
        <v>2</v>
      </c>
      <c r="G200" s="11">
        <v>4</v>
      </c>
      <c r="H200" s="11" t="s">
        <v>161</v>
      </c>
      <c r="I200" s="11" t="s">
        <v>503</v>
      </c>
    </row>
    <row r="201" spans="1:9" ht="12.75">
      <c r="A201" s="4" t="s">
        <v>427</v>
      </c>
      <c r="B201" s="12" t="s">
        <v>285</v>
      </c>
      <c r="C201" s="11" t="s">
        <v>37</v>
      </c>
      <c r="D201" s="12">
        <v>3</v>
      </c>
      <c r="E201" s="14" t="s">
        <v>318</v>
      </c>
      <c r="F201" s="11">
        <v>2</v>
      </c>
      <c r="G201" s="11">
        <v>4</v>
      </c>
      <c r="H201" s="11" t="s">
        <v>161</v>
      </c>
      <c r="I201" s="11" t="s">
        <v>503</v>
      </c>
    </row>
    <row r="202" spans="1:9" ht="12.75">
      <c r="A202" s="4" t="s">
        <v>427</v>
      </c>
      <c r="B202" s="12" t="s">
        <v>286</v>
      </c>
      <c r="C202" s="11" t="s">
        <v>37</v>
      </c>
      <c r="D202" s="12">
        <v>3</v>
      </c>
      <c r="E202" s="14" t="s">
        <v>318</v>
      </c>
      <c r="F202" s="11">
        <v>2</v>
      </c>
      <c r="G202" s="11">
        <v>4</v>
      </c>
      <c r="H202" s="11" t="s">
        <v>161</v>
      </c>
      <c r="I202" s="11" t="s">
        <v>503</v>
      </c>
    </row>
    <row r="203" spans="1:9" ht="12.75">
      <c r="A203" s="4" t="s">
        <v>427</v>
      </c>
      <c r="B203" s="12" t="s">
        <v>287</v>
      </c>
      <c r="C203" s="11" t="s">
        <v>37</v>
      </c>
      <c r="D203" s="12">
        <v>3</v>
      </c>
      <c r="E203" s="14" t="s">
        <v>318</v>
      </c>
      <c r="F203" s="11">
        <v>2</v>
      </c>
      <c r="G203" s="11">
        <v>4</v>
      </c>
      <c r="H203" s="11" t="s">
        <v>161</v>
      </c>
      <c r="I203" s="11" t="s">
        <v>503</v>
      </c>
    </row>
    <row r="204" spans="1:9" ht="12.75">
      <c r="A204" s="4" t="s">
        <v>427</v>
      </c>
      <c r="B204" s="12" t="s">
        <v>288</v>
      </c>
      <c r="C204" s="11" t="s">
        <v>37</v>
      </c>
      <c r="D204" s="12">
        <v>3</v>
      </c>
      <c r="E204" s="14" t="s">
        <v>318</v>
      </c>
      <c r="F204" s="11">
        <v>2</v>
      </c>
      <c r="G204" s="11">
        <v>4</v>
      </c>
      <c r="H204" s="11" t="s">
        <v>161</v>
      </c>
      <c r="I204" s="11" t="s">
        <v>503</v>
      </c>
    </row>
    <row r="205" spans="1:9" ht="12.75">
      <c r="A205" s="4" t="s">
        <v>427</v>
      </c>
      <c r="B205" s="12" t="s">
        <v>289</v>
      </c>
      <c r="C205" s="11" t="s">
        <v>37</v>
      </c>
      <c r="D205" s="12">
        <v>3</v>
      </c>
      <c r="E205" s="14" t="s">
        <v>318</v>
      </c>
      <c r="F205" s="11">
        <v>2</v>
      </c>
      <c r="G205" s="11">
        <v>4</v>
      </c>
      <c r="H205" s="11" t="s">
        <v>161</v>
      </c>
      <c r="I205" s="11" t="s">
        <v>503</v>
      </c>
    </row>
    <row r="206" spans="1:9" ht="12.75">
      <c r="A206" s="4" t="s">
        <v>427</v>
      </c>
      <c r="B206" s="12" t="s">
        <v>290</v>
      </c>
      <c r="C206" s="11" t="s">
        <v>37</v>
      </c>
      <c r="D206" s="12">
        <v>3</v>
      </c>
      <c r="E206" s="14" t="s">
        <v>318</v>
      </c>
      <c r="F206" s="11">
        <v>2</v>
      </c>
      <c r="G206" s="11">
        <v>4</v>
      </c>
      <c r="H206" s="11" t="s">
        <v>161</v>
      </c>
      <c r="I206" s="11" t="s">
        <v>503</v>
      </c>
    </row>
    <row r="207" spans="1:9" ht="12.75">
      <c r="A207" s="4" t="s">
        <v>427</v>
      </c>
      <c r="B207" s="12" t="s">
        <v>291</v>
      </c>
      <c r="C207" s="11" t="s">
        <v>37</v>
      </c>
      <c r="D207" s="12">
        <v>3</v>
      </c>
      <c r="E207" s="14" t="s">
        <v>318</v>
      </c>
      <c r="F207" s="11">
        <v>2</v>
      </c>
      <c r="G207" s="11">
        <v>4</v>
      </c>
      <c r="H207" s="11" t="s">
        <v>161</v>
      </c>
      <c r="I207" s="11" t="s">
        <v>503</v>
      </c>
    </row>
    <row r="208" spans="1:9" ht="12.75">
      <c r="A208" s="4" t="s">
        <v>427</v>
      </c>
      <c r="B208" s="12" t="s">
        <v>292</v>
      </c>
      <c r="C208" s="11" t="s">
        <v>37</v>
      </c>
      <c r="D208" s="12">
        <v>3</v>
      </c>
      <c r="E208" s="14" t="s">
        <v>318</v>
      </c>
      <c r="F208" s="11">
        <v>2</v>
      </c>
      <c r="G208" s="11">
        <v>4</v>
      </c>
      <c r="H208" s="11" t="s">
        <v>161</v>
      </c>
      <c r="I208" s="11" t="s">
        <v>503</v>
      </c>
    </row>
    <row r="209" spans="1:9" ht="12.75">
      <c r="A209" s="4" t="s">
        <v>427</v>
      </c>
      <c r="B209" s="12" t="s">
        <v>293</v>
      </c>
      <c r="C209" s="11" t="s">
        <v>37</v>
      </c>
      <c r="D209" s="12">
        <v>3</v>
      </c>
      <c r="E209" s="14" t="s">
        <v>318</v>
      </c>
      <c r="F209" s="11">
        <v>2</v>
      </c>
      <c r="G209" s="11">
        <v>4</v>
      </c>
      <c r="H209" s="11" t="s">
        <v>161</v>
      </c>
      <c r="I209" s="11" t="s">
        <v>503</v>
      </c>
    </row>
    <row r="210" spans="1:9" ht="12.75">
      <c r="A210" s="4" t="s">
        <v>427</v>
      </c>
      <c r="B210" s="12" t="s">
        <v>294</v>
      </c>
      <c r="C210" s="11" t="s">
        <v>37</v>
      </c>
      <c r="D210" s="12">
        <v>3</v>
      </c>
      <c r="E210" s="14" t="s">
        <v>318</v>
      </c>
      <c r="F210" s="11">
        <v>2</v>
      </c>
      <c r="G210" s="11">
        <v>4</v>
      </c>
      <c r="H210" s="11" t="s">
        <v>161</v>
      </c>
      <c r="I210" s="11" t="s">
        <v>503</v>
      </c>
    </row>
    <row r="211" spans="1:9" ht="12.75">
      <c r="A211" s="4" t="s">
        <v>427</v>
      </c>
      <c r="B211" s="12" t="s">
        <v>295</v>
      </c>
      <c r="C211" s="11" t="s">
        <v>37</v>
      </c>
      <c r="D211" s="12">
        <v>3</v>
      </c>
      <c r="E211" s="14" t="s">
        <v>318</v>
      </c>
      <c r="F211" s="11">
        <v>2</v>
      </c>
      <c r="G211" s="11">
        <v>4</v>
      </c>
      <c r="H211" s="11" t="s">
        <v>161</v>
      </c>
      <c r="I211" s="11" t="s">
        <v>503</v>
      </c>
    </row>
    <row r="212" spans="1:9" ht="12.75">
      <c r="A212" s="4" t="s">
        <v>427</v>
      </c>
      <c r="B212" s="12" t="s">
        <v>296</v>
      </c>
      <c r="C212" s="11" t="s">
        <v>37</v>
      </c>
      <c r="D212" s="12">
        <v>3</v>
      </c>
      <c r="E212" s="14" t="s">
        <v>318</v>
      </c>
      <c r="F212" s="11">
        <v>2</v>
      </c>
      <c r="G212" s="11">
        <v>4</v>
      </c>
      <c r="H212" s="11" t="s">
        <v>161</v>
      </c>
      <c r="I212" s="11" t="s">
        <v>503</v>
      </c>
    </row>
    <row r="213" spans="1:9" ht="12.75">
      <c r="A213" s="4" t="s">
        <v>427</v>
      </c>
      <c r="B213" s="12" t="s">
        <v>297</v>
      </c>
      <c r="C213" s="11" t="s">
        <v>37</v>
      </c>
      <c r="D213" s="12">
        <v>3</v>
      </c>
      <c r="E213" s="14" t="s">
        <v>318</v>
      </c>
      <c r="F213" s="11">
        <v>2</v>
      </c>
      <c r="G213" s="11">
        <v>4</v>
      </c>
      <c r="H213" s="11" t="s">
        <v>161</v>
      </c>
      <c r="I213" s="11" t="s">
        <v>503</v>
      </c>
    </row>
    <row r="214" spans="1:9" ht="12.75">
      <c r="A214" s="4" t="s">
        <v>427</v>
      </c>
      <c r="B214" s="12" t="s">
        <v>298</v>
      </c>
      <c r="C214" s="11" t="s">
        <v>37</v>
      </c>
      <c r="D214" s="12">
        <v>3</v>
      </c>
      <c r="E214" s="14" t="s">
        <v>318</v>
      </c>
      <c r="F214" s="11">
        <v>2</v>
      </c>
      <c r="G214" s="11">
        <v>4</v>
      </c>
      <c r="H214" s="11" t="s">
        <v>161</v>
      </c>
      <c r="I214" s="11" t="s">
        <v>503</v>
      </c>
    </row>
    <row r="215" spans="1:9" ht="12.75">
      <c r="A215" s="4" t="s">
        <v>427</v>
      </c>
      <c r="B215" s="12" t="s">
        <v>299</v>
      </c>
      <c r="C215" s="11" t="s">
        <v>37</v>
      </c>
      <c r="D215" s="12">
        <v>3</v>
      </c>
      <c r="E215" s="14" t="s">
        <v>318</v>
      </c>
      <c r="F215" s="11">
        <v>2</v>
      </c>
      <c r="G215" s="11">
        <v>4</v>
      </c>
      <c r="H215" s="11" t="s">
        <v>161</v>
      </c>
      <c r="I215" s="11" t="s">
        <v>503</v>
      </c>
    </row>
    <row r="216" spans="1:9" ht="12.75">
      <c r="A216" s="4" t="s">
        <v>427</v>
      </c>
      <c r="B216" s="12" t="s">
        <v>300</v>
      </c>
      <c r="C216" s="11" t="s">
        <v>37</v>
      </c>
      <c r="D216" s="12">
        <v>3</v>
      </c>
      <c r="E216" s="14" t="s">
        <v>318</v>
      </c>
      <c r="F216" s="11">
        <v>2</v>
      </c>
      <c r="G216" s="11">
        <v>4</v>
      </c>
      <c r="H216" s="11" t="s">
        <v>161</v>
      </c>
      <c r="I216" s="11" t="s">
        <v>503</v>
      </c>
    </row>
    <row r="217" spans="1:9" ht="12.75">
      <c r="A217" s="4" t="s">
        <v>427</v>
      </c>
      <c r="B217" s="12" t="s">
        <v>301</v>
      </c>
      <c r="C217" s="11" t="s">
        <v>37</v>
      </c>
      <c r="D217" s="12">
        <v>3</v>
      </c>
      <c r="E217" s="14" t="s">
        <v>318</v>
      </c>
      <c r="F217" s="11">
        <v>2</v>
      </c>
      <c r="G217" s="11">
        <v>4</v>
      </c>
      <c r="H217" s="11" t="s">
        <v>161</v>
      </c>
      <c r="I217" s="11" t="s">
        <v>503</v>
      </c>
    </row>
    <row r="218" spans="1:9" ht="12.75">
      <c r="A218" s="4" t="s">
        <v>427</v>
      </c>
      <c r="B218" s="12" t="s">
        <v>302</v>
      </c>
      <c r="C218" s="11" t="s">
        <v>37</v>
      </c>
      <c r="D218" s="12">
        <v>3</v>
      </c>
      <c r="E218" s="14" t="s">
        <v>318</v>
      </c>
      <c r="F218" s="11">
        <v>2</v>
      </c>
      <c r="G218" s="11">
        <v>4</v>
      </c>
      <c r="H218" s="11" t="s">
        <v>161</v>
      </c>
      <c r="I218" s="11" t="s">
        <v>503</v>
      </c>
    </row>
    <row r="219" spans="1:9" ht="12.75">
      <c r="A219" s="4" t="s">
        <v>427</v>
      </c>
      <c r="B219" s="12" t="s">
        <v>303</v>
      </c>
      <c r="C219" s="11" t="s">
        <v>37</v>
      </c>
      <c r="D219" s="12">
        <v>3</v>
      </c>
      <c r="E219" s="14" t="s">
        <v>318</v>
      </c>
      <c r="F219" s="11">
        <v>2</v>
      </c>
      <c r="G219" s="11">
        <v>4</v>
      </c>
      <c r="H219" s="11" t="s">
        <v>161</v>
      </c>
      <c r="I219" s="11" t="s">
        <v>503</v>
      </c>
    </row>
    <row r="220" spans="1:9" ht="12.75">
      <c r="A220" s="4" t="s">
        <v>427</v>
      </c>
      <c r="B220" s="12" t="s">
        <v>304</v>
      </c>
      <c r="C220" s="11" t="s">
        <v>37</v>
      </c>
      <c r="D220" s="12">
        <v>3</v>
      </c>
      <c r="E220" s="14" t="s">
        <v>318</v>
      </c>
      <c r="F220" s="11">
        <v>2</v>
      </c>
      <c r="G220" s="11">
        <v>4</v>
      </c>
      <c r="H220" s="11" t="s">
        <v>161</v>
      </c>
      <c r="I220" s="11" t="s">
        <v>503</v>
      </c>
    </row>
    <row r="221" spans="1:9" ht="12.75">
      <c r="A221" s="4" t="s">
        <v>427</v>
      </c>
      <c r="B221" s="12" t="s">
        <v>305</v>
      </c>
      <c r="C221" s="11" t="s">
        <v>37</v>
      </c>
      <c r="D221" s="12">
        <v>3</v>
      </c>
      <c r="E221" s="14" t="s">
        <v>318</v>
      </c>
      <c r="F221" s="11">
        <v>2</v>
      </c>
      <c r="G221" s="11">
        <v>4</v>
      </c>
      <c r="H221" s="11" t="s">
        <v>161</v>
      </c>
      <c r="I221" s="11" t="s">
        <v>503</v>
      </c>
    </row>
    <row r="222" spans="1:9" ht="12.75">
      <c r="A222" s="4" t="s">
        <v>427</v>
      </c>
      <c r="B222" s="12" t="s">
        <v>306</v>
      </c>
      <c r="C222" s="11" t="s">
        <v>37</v>
      </c>
      <c r="D222" s="12">
        <v>3</v>
      </c>
      <c r="E222" s="14" t="s">
        <v>318</v>
      </c>
      <c r="F222" s="11">
        <v>2</v>
      </c>
      <c r="G222" s="11">
        <v>4</v>
      </c>
      <c r="H222" s="11" t="s">
        <v>161</v>
      </c>
      <c r="I222" s="11" t="s">
        <v>503</v>
      </c>
    </row>
    <row r="223" spans="1:9" ht="12.75">
      <c r="A223" s="4" t="s">
        <v>427</v>
      </c>
      <c r="B223" s="12" t="s">
        <v>307</v>
      </c>
      <c r="C223" s="11" t="s">
        <v>37</v>
      </c>
      <c r="D223" s="12">
        <v>3</v>
      </c>
      <c r="E223" s="14" t="s">
        <v>318</v>
      </c>
      <c r="F223" s="11">
        <v>2</v>
      </c>
      <c r="G223" s="11">
        <v>4</v>
      </c>
      <c r="H223" s="11" t="s">
        <v>161</v>
      </c>
      <c r="I223" s="11" t="s">
        <v>503</v>
      </c>
    </row>
    <row r="224" spans="1:9" ht="12.75">
      <c r="A224" s="4" t="s">
        <v>427</v>
      </c>
      <c r="B224" s="12" t="s">
        <v>308</v>
      </c>
      <c r="C224" s="11" t="s">
        <v>37</v>
      </c>
      <c r="D224" s="12">
        <v>3</v>
      </c>
      <c r="E224" s="14" t="s">
        <v>318</v>
      </c>
      <c r="F224" s="11">
        <v>2</v>
      </c>
      <c r="G224" s="11">
        <v>4</v>
      </c>
      <c r="H224" s="11" t="s">
        <v>161</v>
      </c>
      <c r="I224" s="11" t="s">
        <v>503</v>
      </c>
    </row>
    <row r="225" spans="1:9" ht="12.75">
      <c r="A225" s="4" t="s">
        <v>427</v>
      </c>
      <c r="B225" s="12" t="s">
        <v>309</v>
      </c>
      <c r="C225" s="11" t="s">
        <v>37</v>
      </c>
      <c r="D225" s="12">
        <v>3</v>
      </c>
      <c r="E225" s="14" t="s">
        <v>318</v>
      </c>
      <c r="F225" s="11">
        <v>2</v>
      </c>
      <c r="G225" s="11">
        <v>4</v>
      </c>
      <c r="H225" s="11" t="s">
        <v>161</v>
      </c>
      <c r="I225" s="11" t="s">
        <v>503</v>
      </c>
    </row>
    <row r="226" spans="1:9" ht="12.75">
      <c r="A226" s="4" t="s">
        <v>427</v>
      </c>
      <c r="B226" s="12" t="s">
        <v>310</v>
      </c>
      <c r="C226" s="11" t="s">
        <v>38</v>
      </c>
      <c r="D226" s="12">
        <v>3</v>
      </c>
      <c r="E226" s="14" t="s">
        <v>318</v>
      </c>
      <c r="F226" s="11">
        <v>2</v>
      </c>
      <c r="G226" s="11">
        <v>4</v>
      </c>
      <c r="H226" s="11" t="s">
        <v>161</v>
      </c>
      <c r="I226" s="11" t="s">
        <v>503</v>
      </c>
    </row>
    <row r="227" spans="1:9" ht="12.75">
      <c r="A227" s="4" t="s">
        <v>427</v>
      </c>
      <c r="B227" s="12" t="s">
        <v>311</v>
      </c>
      <c r="C227" s="11" t="s">
        <v>38</v>
      </c>
      <c r="D227" s="12">
        <v>3</v>
      </c>
      <c r="E227" s="14" t="s">
        <v>318</v>
      </c>
      <c r="F227" s="11">
        <v>2</v>
      </c>
      <c r="G227" s="11">
        <v>4</v>
      </c>
      <c r="H227" s="11" t="s">
        <v>161</v>
      </c>
      <c r="I227" s="11" t="s">
        <v>503</v>
      </c>
    </row>
    <row r="228" spans="1:9" ht="12.75">
      <c r="A228" s="4" t="s">
        <v>427</v>
      </c>
      <c r="B228" s="12" t="s">
        <v>312</v>
      </c>
      <c r="C228" s="11" t="s">
        <v>38</v>
      </c>
      <c r="D228" s="12">
        <v>3</v>
      </c>
      <c r="E228" s="14" t="s">
        <v>318</v>
      </c>
      <c r="F228" s="11">
        <v>2</v>
      </c>
      <c r="G228" s="11">
        <v>4</v>
      </c>
      <c r="H228" s="11" t="s">
        <v>161</v>
      </c>
      <c r="I228" s="11" t="s">
        <v>503</v>
      </c>
    </row>
    <row r="229" spans="1:9" ht="12.75">
      <c r="A229" s="4" t="s">
        <v>427</v>
      </c>
      <c r="B229" s="12" t="s">
        <v>313</v>
      </c>
      <c r="C229" s="11" t="s">
        <v>38</v>
      </c>
      <c r="D229" s="12">
        <v>3</v>
      </c>
      <c r="E229" s="14" t="s">
        <v>318</v>
      </c>
      <c r="F229" s="11">
        <v>2</v>
      </c>
      <c r="G229" s="11">
        <v>4</v>
      </c>
      <c r="H229" s="11" t="s">
        <v>161</v>
      </c>
      <c r="I229" s="11" t="s">
        <v>503</v>
      </c>
    </row>
    <row r="230" spans="1:9" ht="13.5">
      <c r="A230" s="51" t="s">
        <v>509</v>
      </c>
      <c r="B230" s="12" t="s">
        <v>314</v>
      </c>
      <c r="C230" s="11" t="s">
        <v>38</v>
      </c>
      <c r="D230" s="12">
        <v>3</v>
      </c>
      <c r="E230" s="14" t="s">
        <v>318</v>
      </c>
      <c r="F230" s="11">
        <v>2</v>
      </c>
      <c r="G230" s="11">
        <v>4</v>
      </c>
      <c r="H230" s="11" t="s">
        <v>161</v>
      </c>
      <c r="I230" s="11" t="s">
        <v>503</v>
      </c>
    </row>
    <row r="231" spans="1:9" ht="12.75">
      <c r="A231" s="4" t="s">
        <v>427</v>
      </c>
      <c r="B231" s="12" t="s">
        <v>315</v>
      </c>
      <c r="C231" s="11" t="s">
        <v>38</v>
      </c>
      <c r="D231" s="12">
        <v>3</v>
      </c>
      <c r="E231" s="14" t="s">
        <v>318</v>
      </c>
      <c r="F231" s="11">
        <v>2</v>
      </c>
      <c r="G231" s="11">
        <v>4</v>
      </c>
      <c r="H231" s="11" t="s">
        <v>161</v>
      </c>
      <c r="I231" s="11" t="s">
        <v>503</v>
      </c>
    </row>
    <row r="232" spans="1:9" ht="12.75">
      <c r="A232" s="4" t="s">
        <v>427</v>
      </c>
      <c r="B232" s="12" t="s">
        <v>316</v>
      </c>
      <c r="C232" s="11" t="s">
        <v>38</v>
      </c>
      <c r="D232" s="12">
        <v>3</v>
      </c>
      <c r="E232" s="14" t="s">
        <v>318</v>
      </c>
      <c r="F232" s="11">
        <v>2</v>
      </c>
      <c r="G232" s="11">
        <v>4</v>
      </c>
      <c r="H232" s="11" t="s">
        <v>161</v>
      </c>
      <c r="I232" s="11" t="s">
        <v>503</v>
      </c>
    </row>
    <row r="233" spans="1:9" ht="12.75">
      <c r="A233" s="4" t="s">
        <v>427</v>
      </c>
      <c r="B233" s="12" t="s">
        <v>317</v>
      </c>
      <c r="C233" s="11" t="s">
        <v>38</v>
      </c>
      <c r="D233" s="12">
        <v>3</v>
      </c>
      <c r="E233" s="14" t="s">
        <v>318</v>
      </c>
      <c r="F233" s="11">
        <v>2</v>
      </c>
      <c r="G233" s="11">
        <v>4</v>
      </c>
      <c r="H233" s="11" t="s">
        <v>161</v>
      </c>
      <c r="I233" s="11" t="s">
        <v>503</v>
      </c>
    </row>
    <row r="234" spans="1:9" ht="13.5">
      <c r="A234" s="52" t="s">
        <v>510</v>
      </c>
      <c r="B234" s="19" t="s">
        <v>328</v>
      </c>
      <c r="C234" s="11" t="s">
        <v>37</v>
      </c>
      <c r="D234" s="12">
        <v>4</v>
      </c>
      <c r="E234" s="14" t="s">
        <v>318</v>
      </c>
      <c r="F234" s="11">
        <v>3</v>
      </c>
      <c r="G234" s="11">
        <v>5</v>
      </c>
      <c r="H234" s="11" t="s">
        <v>69</v>
      </c>
      <c r="I234" s="11" t="s">
        <v>504</v>
      </c>
    </row>
    <row r="235" spans="1:9" ht="13.5">
      <c r="A235" s="52" t="s">
        <v>510</v>
      </c>
      <c r="B235" s="19" t="s">
        <v>329</v>
      </c>
      <c r="C235" s="11" t="s">
        <v>37</v>
      </c>
      <c r="D235" s="12">
        <v>4</v>
      </c>
      <c r="E235" s="14" t="s">
        <v>318</v>
      </c>
      <c r="F235" s="11">
        <v>3</v>
      </c>
      <c r="G235" s="11">
        <v>5</v>
      </c>
      <c r="H235" s="11" t="s">
        <v>69</v>
      </c>
      <c r="I235" s="11" t="s">
        <v>504</v>
      </c>
    </row>
    <row r="236" spans="1:9" ht="13.5">
      <c r="A236" s="52" t="s">
        <v>510</v>
      </c>
      <c r="B236" s="19" t="s">
        <v>330</v>
      </c>
      <c r="C236" s="11" t="s">
        <v>37</v>
      </c>
      <c r="D236" s="12">
        <v>4</v>
      </c>
      <c r="E236" s="14" t="s">
        <v>318</v>
      </c>
      <c r="F236" s="11">
        <v>3</v>
      </c>
      <c r="G236" s="11">
        <v>5</v>
      </c>
      <c r="H236" s="11" t="s">
        <v>69</v>
      </c>
      <c r="I236" s="11" t="s">
        <v>504</v>
      </c>
    </row>
    <row r="237" spans="1:9" ht="13.5">
      <c r="A237" s="52" t="s">
        <v>510</v>
      </c>
      <c r="B237" s="19" t="s">
        <v>331</v>
      </c>
      <c r="C237" s="11" t="s">
        <v>37</v>
      </c>
      <c r="D237" s="12">
        <v>4</v>
      </c>
      <c r="E237" s="14" t="s">
        <v>318</v>
      </c>
      <c r="F237" s="11">
        <v>3</v>
      </c>
      <c r="G237" s="11">
        <v>5</v>
      </c>
      <c r="H237" s="11" t="s">
        <v>69</v>
      </c>
      <c r="I237" s="11" t="s">
        <v>504</v>
      </c>
    </row>
    <row r="238" spans="1:9" ht="13.5">
      <c r="A238" s="52" t="s">
        <v>510</v>
      </c>
      <c r="B238" s="19" t="s">
        <v>332</v>
      </c>
      <c r="C238" s="11" t="s">
        <v>37</v>
      </c>
      <c r="D238" s="12">
        <v>4</v>
      </c>
      <c r="E238" s="14" t="s">
        <v>318</v>
      </c>
      <c r="F238" s="11">
        <v>3</v>
      </c>
      <c r="G238" s="11">
        <v>5</v>
      </c>
      <c r="H238" s="11" t="s">
        <v>69</v>
      </c>
      <c r="I238" s="11" t="s">
        <v>504</v>
      </c>
    </row>
    <row r="239" spans="1:9" ht="13.5">
      <c r="A239" s="52" t="s">
        <v>510</v>
      </c>
      <c r="B239" s="19" t="s">
        <v>333</v>
      </c>
      <c r="C239" s="11" t="s">
        <v>37</v>
      </c>
      <c r="D239" s="12">
        <v>4</v>
      </c>
      <c r="E239" s="14" t="s">
        <v>318</v>
      </c>
      <c r="F239" s="11">
        <v>3</v>
      </c>
      <c r="G239" s="11">
        <v>5</v>
      </c>
      <c r="H239" s="11" t="s">
        <v>69</v>
      </c>
      <c r="I239" s="11" t="s">
        <v>504</v>
      </c>
    </row>
    <row r="240" spans="1:9" ht="13.5">
      <c r="A240" s="52" t="s">
        <v>510</v>
      </c>
      <c r="B240" s="19" t="s">
        <v>334</v>
      </c>
      <c r="C240" s="11" t="s">
        <v>37</v>
      </c>
      <c r="D240" s="12">
        <v>4</v>
      </c>
      <c r="E240" s="14" t="s">
        <v>318</v>
      </c>
      <c r="F240" s="11">
        <v>3</v>
      </c>
      <c r="G240" s="11">
        <v>5</v>
      </c>
      <c r="H240" s="11" t="s">
        <v>69</v>
      </c>
      <c r="I240" s="11" t="s">
        <v>504</v>
      </c>
    </row>
    <row r="241" spans="1:9" ht="13.5">
      <c r="A241" s="52" t="s">
        <v>510</v>
      </c>
      <c r="B241" s="19" t="s">
        <v>335</v>
      </c>
      <c r="C241" s="11" t="s">
        <v>37</v>
      </c>
      <c r="D241" s="12">
        <v>4</v>
      </c>
      <c r="E241" s="14" t="s">
        <v>318</v>
      </c>
      <c r="F241" s="11">
        <v>3</v>
      </c>
      <c r="G241" s="11">
        <v>5</v>
      </c>
      <c r="H241" s="11" t="s">
        <v>69</v>
      </c>
      <c r="I241" s="11" t="s">
        <v>504</v>
      </c>
    </row>
    <row r="242" spans="1:9" ht="13.5">
      <c r="A242" s="52" t="s">
        <v>511</v>
      </c>
      <c r="B242" s="19" t="s">
        <v>336</v>
      </c>
      <c r="C242" s="11" t="s">
        <v>37</v>
      </c>
      <c r="D242" s="12">
        <v>4</v>
      </c>
      <c r="E242" s="14" t="s">
        <v>318</v>
      </c>
      <c r="F242" s="11">
        <v>3</v>
      </c>
      <c r="G242" s="11">
        <v>5</v>
      </c>
      <c r="H242" s="11" t="s">
        <v>69</v>
      </c>
      <c r="I242" s="11" t="s">
        <v>504</v>
      </c>
    </row>
    <row r="243" spans="1:9" ht="13.5">
      <c r="A243" s="52" t="s">
        <v>511</v>
      </c>
      <c r="B243" s="19" t="s">
        <v>338</v>
      </c>
      <c r="C243" s="11" t="s">
        <v>37</v>
      </c>
      <c r="D243" s="12">
        <v>4</v>
      </c>
      <c r="E243" s="14" t="s">
        <v>318</v>
      </c>
      <c r="F243" s="11">
        <v>3</v>
      </c>
      <c r="G243" s="11">
        <v>5</v>
      </c>
      <c r="H243" s="11" t="s">
        <v>69</v>
      </c>
      <c r="I243" s="11" t="s">
        <v>504</v>
      </c>
    </row>
    <row r="244" spans="1:9" ht="13.5">
      <c r="A244" s="52" t="s">
        <v>511</v>
      </c>
      <c r="B244" s="19" t="s">
        <v>339</v>
      </c>
      <c r="C244" s="11" t="s">
        <v>37</v>
      </c>
      <c r="D244" s="12">
        <v>4</v>
      </c>
      <c r="E244" s="14" t="s">
        <v>318</v>
      </c>
      <c r="F244" s="11">
        <v>3</v>
      </c>
      <c r="G244" s="11">
        <v>5</v>
      </c>
      <c r="H244" s="11" t="s">
        <v>69</v>
      </c>
      <c r="I244" s="11" t="s">
        <v>504</v>
      </c>
    </row>
    <row r="245" spans="1:9" ht="13.5">
      <c r="A245" s="52" t="s">
        <v>511</v>
      </c>
      <c r="B245" s="19" t="s">
        <v>340</v>
      </c>
      <c r="C245" s="11" t="s">
        <v>37</v>
      </c>
      <c r="D245" s="12">
        <v>4</v>
      </c>
      <c r="E245" s="14" t="s">
        <v>318</v>
      </c>
      <c r="F245" s="11">
        <v>3</v>
      </c>
      <c r="G245" s="11">
        <v>5</v>
      </c>
      <c r="H245" s="11" t="s">
        <v>69</v>
      </c>
      <c r="I245" s="11" t="s">
        <v>504</v>
      </c>
    </row>
    <row r="246" spans="1:9" ht="13.5">
      <c r="A246" s="52" t="s">
        <v>511</v>
      </c>
      <c r="B246" s="19" t="s">
        <v>341</v>
      </c>
      <c r="C246" s="11" t="s">
        <v>37</v>
      </c>
      <c r="D246" s="12">
        <v>4</v>
      </c>
      <c r="E246" s="14" t="s">
        <v>318</v>
      </c>
      <c r="F246" s="11">
        <v>3</v>
      </c>
      <c r="G246" s="11">
        <v>5</v>
      </c>
      <c r="H246" s="11" t="s">
        <v>69</v>
      </c>
      <c r="I246" s="11" t="s">
        <v>504</v>
      </c>
    </row>
    <row r="247" spans="1:9" ht="13.5">
      <c r="A247" s="52" t="s">
        <v>511</v>
      </c>
      <c r="B247" s="19" t="s">
        <v>342</v>
      </c>
      <c r="C247" s="11" t="s">
        <v>37</v>
      </c>
      <c r="D247" s="12">
        <v>4</v>
      </c>
      <c r="E247" s="14" t="s">
        <v>318</v>
      </c>
      <c r="F247" s="11">
        <v>3</v>
      </c>
      <c r="G247" s="11">
        <v>5</v>
      </c>
      <c r="H247" s="11" t="s">
        <v>69</v>
      </c>
      <c r="I247" s="11" t="s">
        <v>504</v>
      </c>
    </row>
    <row r="248" spans="1:9" ht="13.5">
      <c r="A248" s="52" t="s">
        <v>511</v>
      </c>
      <c r="B248" s="19" t="s">
        <v>343</v>
      </c>
      <c r="C248" s="11" t="s">
        <v>37</v>
      </c>
      <c r="D248" s="12">
        <v>4</v>
      </c>
      <c r="E248" s="14" t="s">
        <v>318</v>
      </c>
      <c r="F248" s="11">
        <v>3</v>
      </c>
      <c r="G248" s="11">
        <v>5</v>
      </c>
      <c r="H248" s="11" t="s">
        <v>69</v>
      </c>
      <c r="I248" s="11" t="s">
        <v>504</v>
      </c>
    </row>
    <row r="249" spans="1:9" ht="13.5">
      <c r="A249" s="52" t="s">
        <v>511</v>
      </c>
      <c r="B249" s="19" t="s">
        <v>344</v>
      </c>
      <c r="C249" s="11" t="s">
        <v>37</v>
      </c>
      <c r="D249" s="12">
        <v>4</v>
      </c>
      <c r="E249" s="14" t="s">
        <v>318</v>
      </c>
      <c r="F249" s="11">
        <v>3</v>
      </c>
      <c r="G249" s="11">
        <v>5</v>
      </c>
      <c r="H249" s="11" t="s">
        <v>69</v>
      </c>
      <c r="I249" s="11" t="s">
        <v>504</v>
      </c>
    </row>
    <row r="250" spans="1:9" ht="13.5">
      <c r="A250" s="52" t="s">
        <v>511</v>
      </c>
      <c r="B250" s="19" t="s">
        <v>345</v>
      </c>
      <c r="C250" s="11" t="s">
        <v>37</v>
      </c>
      <c r="D250" s="12">
        <v>4</v>
      </c>
      <c r="E250" s="14" t="s">
        <v>318</v>
      </c>
      <c r="F250" s="11">
        <v>3</v>
      </c>
      <c r="G250" s="11">
        <v>5</v>
      </c>
      <c r="H250" s="11" t="s">
        <v>69</v>
      </c>
      <c r="I250" s="11" t="s">
        <v>504</v>
      </c>
    </row>
    <row r="251" spans="1:9" ht="13.5">
      <c r="A251" s="52" t="s">
        <v>511</v>
      </c>
      <c r="B251" s="19" t="s">
        <v>346</v>
      </c>
      <c r="C251" s="11" t="s">
        <v>37</v>
      </c>
      <c r="D251" s="12">
        <v>4</v>
      </c>
      <c r="E251" s="14" t="s">
        <v>318</v>
      </c>
      <c r="F251" s="11">
        <v>3</v>
      </c>
      <c r="G251" s="11">
        <v>5</v>
      </c>
      <c r="H251" s="11" t="s">
        <v>69</v>
      </c>
      <c r="I251" s="11" t="s">
        <v>504</v>
      </c>
    </row>
    <row r="252" spans="1:9" ht="13.5">
      <c r="A252" s="52" t="s">
        <v>511</v>
      </c>
      <c r="B252" s="19" t="s">
        <v>347</v>
      </c>
      <c r="C252" s="11" t="s">
        <v>37</v>
      </c>
      <c r="D252" s="12">
        <v>4</v>
      </c>
      <c r="E252" s="14" t="s">
        <v>318</v>
      </c>
      <c r="F252" s="11">
        <v>3</v>
      </c>
      <c r="G252" s="11">
        <v>5</v>
      </c>
      <c r="H252" s="11" t="s">
        <v>69</v>
      </c>
      <c r="I252" s="11" t="s">
        <v>504</v>
      </c>
    </row>
    <row r="253" spans="1:9" ht="13.5">
      <c r="A253" s="51" t="s">
        <v>512</v>
      </c>
      <c r="B253" s="25" t="s">
        <v>349</v>
      </c>
      <c r="C253" s="11" t="s">
        <v>37</v>
      </c>
      <c r="D253" s="12">
        <v>4</v>
      </c>
      <c r="E253" s="14" t="s">
        <v>318</v>
      </c>
      <c r="F253" s="11">
        <v>3</v>
      </c>
      <c r="G253" s="11">
        <v>5</v>
      </c>
      <c r="H253" s="11" t="s">
        <v>69</v>
      </c>
      <c r="I253" s="11" t="s">
        <v>504</v>
      </c>
    </row>
    <row r="254" spans="1:9" ht="13.5">
      <c r="A254" s="51" t="s">
        <v>512</v>
      </c>
      <c r="B254" s="25" t="s">
        <v>350</v>
      </c>
      <c r="C254" s="11" t="s">
        <v>37</v>
      </c>
      <c r="D254" s="12">
        <v>4</v>
      </c>
      <c r="E254" s="14" t="s">
        <v>318</v>
      </c>
      <c r="F254" s="11">
        <v>3</v>
      </c>
      <c r="G254" s="11">
        <v>5</v>
      </c>
      <c r="H254" s="11" t="s">
        <v>69</v>
      </c>
      <c r="I254" s="11" t="s">
        <v>504</v>
      </c>
    </row>
    <row r="255" spans="1:9" ht="13.5">
      <c r="A255" s="51" t="s">
        <v>512</v>
      </c>
      <c r="B255" s="25" t="s">
        <v>351</v>
      </c>
      <c r="C255" s="11" t="s">
        <v>37</v>
      </c>
      <c r="D255" s="12">
        <v>4</v>
      </c>
      <c r="E255" s="14" t="s">
        <v>318</v>
      </c>
      <c r="F255" s="11">
        <v>3</v>
      </c>
      <c r="G255" s="11">
        <v>5</v>
      </c>
      <c r="H255" s="11" t="s">
        <v>69</v>
      </c>
      <c r="I255" s="11" t="s">
        <v>504</v>
      </c>
    </row>
    <row r="256" spans="1:9" ht="13.5">
      <c r="A256" s="51" t="s">
        <v>512</v>
      </c>
      <c r="B256" s="25" t="s">
        <v>352</v>
      </c>
      <c r="C256" s="11" t="s">
        <v>37</v>
      </c>
      <c r="D256" s="12">
        <v>4</v>
      </c>
      <c r="E256" s="14" t="s">
        <v>318</v>
      </c>
      <c r="F256" s="11">
        <v>3</v>
      </c>
      <c r="G256" s="11">
        <v>5</v>
      </c>
      <c r="H256" s="11" t="s">
        <v>69</v>
      </c>
      <c r="I256" s="11" t="s">
        <v>504</v>
      </c>
    </row>
    <row r="257" spans="1:9" ht="13.5">
      <c r="A257" s="51" t="s">
        <v>512</v>
      </c>
      <c r="B257" s="25" t="s">
        <v>353</v>
      </c>
      <c r="C257" s="11" t="s">
        <v>37</v>
      </c>
      <c r="D257" s="12">
        <v>4</v>
      </c>
      <c r="E257" s="14" t="s">
        <v>318</v>
      </c>
      <c r="F257" s="11">
        <v>3</v>
      </c>
      <c r="G257" s="11">
        <v>5</v>
      </c>
      <c r="H257" s="11" t="s">
        <v>69</v>
      </c>
      <c r="I257" s="11" t="s">
        <v>504</v>
      </c>
    </row>
    <row r="258" spans="1:9" ht="13.5">
      <c r="A258" s="51" t="s">
        <v>512</v>
      </c>
      <c r="B258" s="25" t="s">
        <v>354</v>
      </c>
      <c r="C258" s="11" t="s">
        <v>37</v>
      </c>
      <c r="D258" s="12">
        <v>4</v>
      </c>
      <c r="E258" s="14" t="s">
        <v>318</v>
      </c>
      <c r="F258" s="11">
        <v>3</v>
      </c>
      <c r="G258" s="11">
        <v>5</v>
      </c>
      <c r="H258" s="11" t="s">
        <v>69</v>
      </c>
      <c r="I258" s="11" t="s">
        <v>504</v>
      </c>
    </row>
    <row r="259" spans="1:9" ht="13.5">
      <c r="A259" s="51" t="s">
        <v>512</v>
      </c>
      <c r="B259" s="25" t="s">
        <v>355</v>
      </c>
      <c r="C259" s="11" t="s">
        <v>37</v>
      </c>
      <c r="D259" s="12">
        <v>4</v>
      </c>
      <c r="E259" s="14" t="s">
        <v>318</v>
      </c>
      <c r="F259" s="11">
        <v>3</v>
      </c>
      <c r="G259" s="11">
        <v>5</v>
      </c>
      <c r="H259" s="11" t="s">
        <v>69</v>
      </c>
      <c r="I259" s="11" t="s">
        <v>504</v>
      </c>
    </row>
    <row r="260" spans="1:9" ht="13.5">
      <c r="A260" s="51" t="s">
        <v>512</v>
      </c>
      <c r="B260" s="25" t="s">
        <v>356</v>
      </c>
      <c r="C260" s="11" t="s">
        <v>37</v>
      </c>
      <c r="D260" s="12">
        <v>4</v>
      </c>
      <c r="E260" s="14" t="s">
        <v>318</v>
      </c>
      <c r="F260" s="11">
        <v>3</v>
      </c>
      <c r="G260" s="11">
        <v>5</v>
      </c>
      <c r="H260" s="11" t="s">
        <v>69</v>
      </c>
      <c r="I260" s="11" t="s">
        <v>504</v>
      </c>
    </row>
    <row r="261" spans="1:9" ht="13.5">
      <c r="A261" s="51" t="s">
        <v>512</v>
      </c>
      <c r="B261" s="25" t="s">
        <v>357</v>
      </c>
      <c r="C261" s="11" t="s">
        <v>37</v>
      </c>
      <c r="D261" s="12">
        <v>4</v>
      </c>
      <c r="E261" s="14" t="s">
        <v>318</v>
      </c>
      <c r="F261" s="11">
        <v>3</v>
      </c>
      <c r="G261" s="11">
        <v>5</v>
      </c>
      <c r="H261" s="11" t="s">
        <v>69</v>
      </c>
      <c r="I261" s="11" t="s">
        <v>504</v>
      </c>
    </row>
    <row r="262" spans="1:9" ht="13.5">
      <c r="A262" s="51" t="s">
        <v>512</v>
      </c>
      <c r="B262" s="25" t="s">
        <v>358</v>
      </c>
      <c r="C262" s="11" t="s">
        <v>37</v>
      </c>
      <c r="D262" s="12">
        <v>4</v>
      </c>
      <c r="E262" s="14" t="s">
        <v>318</v>
      </c>
      <c r="F262" s="11">
        <v>3</v>
      </c>
      <c r="G262" s="11">
        <v>5</v>
      </c>
      <c r="H262" s="11" t="s">
        <v>69</v>
      </c>
      <c r="I262" s="11" t="s">
        <v>504</v>
      </c>
    </row>
    <row r="263" spans="1:9" ht="13.5">
      <c r="A263" s="51" t="s">
        <v>512</v>
      </c>
      <c r="B263" s="25" t="s">
        <v>359</v>
      </c>
      <c r="C263" s="11" t="s">
        <v>37</v>
      </c>
      <c r="D263" s="12">
        <v>4</v>
      </c>
      <c r="E263" s="14" t="s">
        <v>318</v>
      </c>
      <c r="F263" s="11">
        <v>3</v>
      </c>
      <c r="G263" s="11">
        <v>5</v>
      </c>
      <c r="H263" s="11" t="s">
        <v>69</v>
      </c>
      <c r="I263" s="11" t="s">
        <v>504</v>
      </c>
    </row>
    <row r="264" spans="1:9" ht="13.5">
      <c r="A264" s="51" t="s">
        <v>512</v>
      </c>
      <c r="B264" s="25" t="s">
        <v>360</v>
      </c>
      <c r="C264" s="11" t="s">
        <v>37</v>
      </c>
      <c r="D264" s="12">
        <v>4</v>
      </c>
      <c r="E264" s="14" t="s">
        <v>318</v>
      </c>
      <c r="F264" s="11">
        <v>3</v>
      </c>
      <c r="G264" s="11">
        <v>5</v>
      </c>
      <c r="H264" s="11" t="s">
        <v>69</v>
      </c>
      <c r="I264" s="11" t="s">
        <v>504</v>
      </c>
    </row>
    <row r="265" spans="1:9" ht="13.5">
      <c r="A265" s="51" t="s">
        <v>512</v>
      </c>
      <c r="B265" s="25" t="s">
        <v>361</v>
      </c>
      <c r="C265" s="11" t="s">
        <v>37</v>
      </c>
      <c r="D265" s="12">
        <v>4</v>
      </c>
      <c r="E265" s="14" t="s">
        <v>318</v>
      </c>
      <c r="F265" s="11">
        <v>3</v>
      </c>
      <c r="G265" s="11">
        <v>5</v>
      </c>
      <c r="H265" s="11" t="s">
        <v>69</v>
      </c>
      <c r="I265" s="11" t="s">
        <v>504</v>
      </c>
    </row>
    <row r="266" spans="1:9" ht="13.5">
      <c r="A266" s="51" t="s">
        <v>512</v>
      </c>
      <c r="B266" s="25" t="s">
        <v>362</v>
      </c>
      <c r="C266" s="11" t="s">
        <v>37</v>
      </c>
      <c r="D266" s="12">
        <v>4</v>
      </c>
      <c r="E266" s="14" t="s">
        <v>318</v>
      </c>
      <c r="F266" s="11">
        <v>3</v>
      </c>
      <c r="G266" s="11">
        <v>5</v>
      </c>
      <c r="H266" s="11" t="s">
        <v>69</v>
      </c>
      <c r="I266" s="11" t="s">
        <v>504</v>
      </c>
    </row>
    <row r="267" spans="1:9" ht="13.5">
      <c r="A267" s="51" t="s">
        <v>512</v>
      </c>
      <c r="B267" s="25" t="s">
        <v>363</v>
      </c>
      <c r="C267" s="11" t="s">
        <v>37</v>
      </c>
      <c r="D267" s="12">
        <v>4</v>
      </c>
      <c r="E267" s="14" t="s">
        <v>318</v>
      </c>
      <c r="F267" s="11">
        <v>3</v>
      </c>
      <c r="G267" s="11">
        <v>5</v>
      </c>
      <c r="H267" s="11" t="s">
        <v>69</v>
      </c>
      <c r="I267" s="11" t="s">
        <v>504</v>
      </c>
    </row>
    <row r="268" spans="1:9" ht="13.5">
      <c r="A268" s="51" t="s">
        <v>512</v>
      </c>
      <c r="B268" s="25" t="s">
        <v>364</v>
      </c>
      <c r="C268" s="11" t="s">
        <v>37</v>
      </c>
      <c r="D268" s="12">
        <v>4</v>
      </c>
      <c r="E268" s="14" t="s">
        <v>318</v>
      </c>
      <c r="F268" s="11">
        <v>3</v>
      </c>
      <c r="G268" s="11">
        <v>5</v>
      </c>
      <c r="H268" s="11" t="s">
        <v>69</v>
      </c>
      <c r="I268" s="11" t="s">
        <v>504</v>
      </c>
    </row>
    <row r="269" spans="1:9" ht="13.5">
      <c r="A269" s="51" t="s">
        <v>512</v>
      </c>
      <c r="B269" s="25" t="s">
        <v>365</v>
      </c>
      <c r="C269" s="11" t="s">
        <v>37</v>
      </c>
      <c r="D269" s="12">
        <v>4</v>
      </c>
      <c r="E269" s="14" t="s">
        <v>318</v>
      </c>
      <c r="F269" s="11">
        <v>3</v>
      </c>
      <c r="G269" s="11">
        <v>5</v>
      </c>
      <c r="H269" s="11" t="s">
        <v>69</v>
      </c>
      <c r="I269" s="11" t="s">
        <v>504</v>
      </c>
    </row>
    <row r="270" spans="1:9" ht="13.5">
      <c r="A270" s="51" t="s">
        <v>512</v>
      </c>
      <c r="B270" s="25" t="s">
        <v>366</v>
      </c>
      <c r="C270" s="11" t="s">
        <v>37</v>
      </c>
      <c r="D270" s="12">
        <v>4</v>
      </c>
      <c r="E270" s="14" t="s">
        <v>318</v>
      </c>
      <c r="F270" s="11">
        <v>3</v>
      </c>
      <c r="G270" s="11">
        <v>5</v>
      </c>
      <c r="H270" s="11" t="s">
        <v>69</v>
      </c>
      <c r="I270" s="11" t="s">
        <v>504</v>
      </c>
    </row>
    <row r="271" spans="1:9" ht="13.5">
      <c r="A271" s="51" t="s">
        <v>512</v>
      </c>
      <c r="B271" s="25" t="s">
        <v>367</v>
      </c>
      <c r="C271" s="11" t="s">
        <v>37</v>
      </c>
      <c r="D271" s="12">
        <v>4</v>
      </c>
      <c r="E271" s="14" t="s">
        <v>318</v>
      </c>
      <c r="F271" s="11">
        <v>3</v>
      </c>
      <c r="G271" s="11">
        <v>5</v>
      </c>
      <c r="H271" s="11" t="s">
        <v>69</v>
      </c>
      <c r="I271" s="11" t="s">
        <v>504</v>
      </c>
    </row>
    <row r="272" spans="1:9" ht="13.5">
      <c r="A272" s="51" t="s">
        <v>512</v>
      </c>
      <c r="B272" s="25" t="s">
        <v>368</v>
      </c>
      <c r="C272" s="11" t="s">
        <v>37</v>
      </c>
      <c r="D272" s="12">
        <v>4</v>
      </c>
      <c r="E272" s="14" t="s">
        <v>318</v>
      </c>
      <c r="F272" s="11">
        <v>3</v>
      </c>
      <c r="G272" s="11">
        <v>5</v>
      </c>
      <c r="H272" s="11" t="s">
        <v>69</v>
      </c>
      <c r="I272" s="11" t="s">
        <v>504</v>
      </c>
    </row>
    <row r="273" spans="1:9" ht="13.5">
      <c r="A273" s="51" t="s">
        <v>512</v>
      </c>
      <c r="B273" s="25" t="s">
        <v>369</v>
      </c>
      <c r="C273" s="11" t="s">
        <v>37</v>
      </c>
      <c r="D273" s="12">
        <v>4</v>
      </c>
      <c r="E273" s="14" t="s">
        <v>318</v>
      </c>
      <c r="F273" s="11">
        <v>3</v>
      </c>
      <c r="G273" s="11">
        <v>5</v>
      </c>
      <c r="H273" s="11" t="s">
        <v>69</v>
      </c>
      <c r="I273" s="11" t="s">
        <v>504</v>
      </c>
    </row>
    <row r="274" spans="1:9" ht="13.5">
      <c r="A274" s="51" t="s">
        <v>512</v>
      </c>
      <c r="B274" s="25" t="s">
        <v>370</v>
      </c>
      <c r="C274" s="11" t="s">
        <v>37</v>
      </c>
      <c r="D274" s="12">
        <v>4</v>
      </c>
      <c r="E274" s="14" t="s">
        <v>318</v>
      </c>
      <c r="F274" s="11">
        <v>3</v>
      </c>
      <c r="G274" s="11">
        <v>5</v>
      </c>
      <c r="H274" s="11" t="s">
        <v>69</v>
      </c>
      <c r="I274" s="11" t="s">
        <v>504</v>
      </c>
    </row>
    <row r="275" spans="1:9" ht="13.5">
      <c r="A275" s="51" t="s">
        <v>512</v>
      </c>
      <c r="B275" s="25" t="s">
        <v>371</v>
      </c>
      <c r="C275" s="11" t="s">
        <v>37</v>
      </c>
      <c r="D275" s="12">
        <v>4</v>
      </c>
      <c r="E275" s="14" t="s">
        <v>318</v>
      </c>
      <c r="F275" s="11">
        <v>3</v>
      </c>
      <c r="G275" s="11">
        <v>5</v>
      </c>
      <c r="H275" s="11" t="s">
        <v>69</v>
      </c>
      <c r="I275" s="11" t="s">
        <v>504</v>
      </c>
    </row>
    <row r="276" spans="1:9" ht="13.5">
      <c r="A276" s="51" t="s">
        <v>512</v>
      </c>
      <c r="B276" s="25" t="s">
        <v>372</v>
      </c>
      <c r="C276" s="11" t="s">
        <v>37</v>
      </c>
      <c r="D276" s="12">
        <v>4</v>
      </c>
      <c r="E276" s="14" t="s">
        <v>318</v>
      </c>
      <c r="F276" s="11">
        <v>3</v>
      </c>
      <c r="G276" s="11">
        <v>5</v>
      </c>
      <c r="H276" s="11" t="s">
        <v>69</v>
      </c>
      <c r="I276" s="11" t="s">
        <v>504</v>
      </c>
    </row>
    <row r="277" spans="1:9" ht="13.5">
      <c r="A277" s="51" t="s">
        <v>512</v>
      </c>
      <c r="B277" s="25" t="s">
        <v>373</v>
      </c>
      <c r="C277" s="11" t="s">
        <v>37</v>
      </c>
      <c r="D277" s="12">
        <v>4</v>
      </c>
      <c r="E277" s="14" t="s">
        <v>318</v>
      </c>
      <c r="F277" s="11">
        <v>3</v>
      </c>
      <c r="G277" s="11">
        <v>5</v>
      </c>
      <c r="H277" s="11" t="s">
        <v>69</v>
      </c>
      <c r="I277" s="11" t="s">
        <v>504</v>
      </c>
    </row>
    <row r="278" spans="1:9" ht="13.5">
      <c r="A278" s="51" t="s">
        <v>512</v>
      </c>
      <c r="B278" s="25" t="s">
        <v>374</v>
      </c>
      <c r="C278" s="11" t="s">
        <v>37</v>
      </c>
      <c r="D278" s="12">
        <v>4</v>
      </c>
      <c r="E278" s="14" t="s">
        <v>318</v>
      </c>
      <c r="F278" s="11">
        <v>3</v>
      </c>
      <c r="G278" s="11">
        <v>5</v>
      </c>
      <c r="H278" s="11" t="s">
        <v>69</v>
      </c>
      <c r="I278" s="11" t="s">
        <v>504</v>
      </c>
    </row>
    <row r="279" spans="1:9" ht="13.5">
      <c r="A279" s="51" t="s">
        <v>512</v>
      </c>
      <c r="B279" s="25" t="s">
        <v>375</v>
      </c>
      <c r="C279" s="11" t="s">
        <v>37</v>
      </c>
      <c r="D279" s="12">
        <v>4</v>
      </c>
      <c r="E279" s="14" t="s">
        <v>318</v>
      </c>
      <c r="F279" s="11">
        <v>3</v>
      </c>
      <c r="G279" s="11">
        <v>5</v>
      </c>
      <c r="H279" s="11" t="s">
        <v>69</v>
      </c>
      <c r="I279" s="11" t="s">
        <v>504</v>
      </c>
    </row>
    <row r="280" spans="1:9" ht="13.5">
      <c r="A280" s="51" t="s">
        <v>512</v>
      </c>
      <c r="B280" s="25" t="s">
        <v>376</v>
      </c>
      <c r="C280" s="11" t="s">
        <v>37</v>
      </c>
      <c r="D280" s="12">
        <v>4</v>
      </c>
      <c r="E280" s="14" t="s">
        <v>318</v>
      </c>
      <c r="F280" s="11">
        <v>3</v>
      </c>
      <c r="G280" s="11">
        <v>5</v>
      </c>
      <c r="H280" s="11" t="s">
        <v>69</v>
      </c>
      <c r="I280" s="11" t="s">
        <v>504</v>
      </c>
    </row>
    <row r="281" spans="1:9" ht="13.5">
      <c r="A281" s="51" t="s">
        <v>512</v>
      </c>
      <c r="B281" s="25" t="s">
        <v>377</v>
      </c>
      <c r="C281" s="11" t="s">
        <v>37</v>
      </c>
      <c r="D281" s="12">
        <v>4</v>
      </c>
      <c r="E281" s="14" t="s">
        <v>318</v>
      </c>
      <c r="F281" s="11">
        <v>3</v>
      </c>
      <c r="G281" s="11">
        <v>5</v>
      </c>
      <c r="H281" s="11" t="s">
        <v>69</v>
      </c>
      <c r="I281" s="11" t="s">
        <v>504</v>
      </c>
    </row>
    <row r="282" spans="1:9" ht="13.5">
      <c r="A282" s="51" t="s">
        <v>512</v>
      </c>
      <c r="B282" s="25" t="s">
        <v>378</v>
      </c>
      <c r="C282" s="11" t="s">
        <v>37</v>
      </c>
      <c r="D282" s="12">
        <v>4</v>
      </c>
      <c r="E282" s="14" t="s">
        <v>318</v>
      </c>
      <c r="F282" s="11">
        <v>3</v>
      </c>
      <c r="G282" s="11">
        <v>5</v>
      </c>
      <c r="H282" s="11" t="s">
        <v>69</v>
      </c>
      <c r="I282" s="11" t="s">
        <v>504</v>
      </c>
    </row>
    <row r="283" spans="1:9" ht="13.5">
      <c r="A283" s="51" t="s">
        <v>512</v>
      </c>
      <c r="B283" s="25" t="s">
        <v>379</v>
      </c>
      <c r="C283" s="11" t="s">
        <v>37</v>
      </c>
      <c r="D283" s="12">
        <v>4</v>
      </c>
      <c r="E283" s="14" t="s">
        <v>318</v>
      </c>
      <c r="F283" s="11">
        <v>3</v>
      </c>
      <c r="G283" s="11">
        <v>5</v>
      </c>
      <c r="H283" s="11" t="s">
        <v>69</v>
      </c>
      <c r="I283" s="11" t="s">
        <v>504</v>
      </c>
    </row>
    <row r="284" spans="1:9" ht="13.5">
      <c r="A284" s="51" t="s">
        <v>512</v>
      </c>
      <c r="B284" s="25" t="s">
        <v>380</v>
      </c>
      <c r="C284" s="11" t="s">
        <v>37</v>
      </c>
      <c r="D284" s="12">
        <v>4</v>
      </c>
      <c r="E284" s="14" t="s">
        <v>318</v>
      </c>
      <c r="F284" s="11">
        <v>3</v>
      </c>
      <c r="G284" s="11">
        <v>5</v>
      </c>
      <c r="H284" s="11" t="s">
        <v>69</v>
      </c>
      <c r="I284" s="11" t="s">
        <v>504</v>
      </c>
    </row>
    <row r="285" spans="1:9" ht="13.5">
      <c r="A285" s="51" t="s">
        <v>512</v>
      </c>
      <c r="B285" s="25" t="s">
        <v>381</v>
      </c>
      <c r="C285" s="11" t="s">
        <v>37</v>
      </c>
      <c r="D285" s="12">
        <v>4</v>
      </c>
      <c r="E285" s="14" t="s">
        <v>318</v>
      </c>
      <c r="F285" s="11">
        <v>3</v>
      </c>
      <c r="G285" s="11">
        <v>5</v>
      </c>
      <c r="H285" s="11" t="s">
        <v>69</v>
      </c>
      <c r="I285" s="11" t="s">
        <v>504</v>
      </c>
    </row>
    <row r="286" spans="1:9" ht="13.5">
      <c r="A286" s="51" t="s">
        <v>512</v>
      </c>
      <c r="B286" s="25" t="s">
        <v>382</v>
      </c>
      <c r="C286" s="11" t="s">
        <v>37</v>
      </c>
      <c r="D286" s="12">
        <v>4</v>
      </c>
      <c r="E286" s="14" t="s">
        <v>318</v>
      </c>
      <c r="F286" s="11">
        <v>3</v>
      </c>
      <c r="G286" s="11">
        <v>5</v>
      </c>
      <c r="H286" s="11" t="s">
        <v>69</v>
      </c>
      <c r="I286" s="11" t="s">
        <v>504</v>
      </c>
    </row>
    <row r="287" spans="1:9" ht="13.5">
      <c r="A287" s="51" t="s">
        <v>512</v>
      </c>
      <c r="B287" s="25" t="s">
        <v>383</v>
      </c>
      <c r="C287" s="11" t="s">
        <v>37</v>
      </c>
      <c r="D287" s="12">
        <v>4</v>
      </c>
      <c r="E287" s="14" t="s">
        <v>318</v>
      </c>
      <c r="F287" s="11">
        <v>3</v>
      </c>
      <c r="G287" s="11">
        <v>5</v>
      </c>
      <c r="H287" s="11" t="s">
        <v>69</v>
      </c>
      <c r="I287" s="11" t="s">
        <v>504</v>
      </c>
    </row>
    <row r="288" spans="1:9" ht="13.5">
      <c r="A288" s="51" t="s">
        <v>512</v>
      </c>
      <c r="B288" s="25" t="s">
        <v>384</v>
      </c>
      <c r="C288" s="11" t="s">
        <v>37</v>
      </c>
      <c r="D288" s="12">
        <v>4</v>
      </c>
      <c r="E288" s="14" t="s">
        <v>318</v>
      </c>
      <c r="F288" s="11">
        <v>3</v>
      </c>
      <c r="G288" s="11">
        <v>5</v>
      </c>
      <c r="H288" s="11" t="s">
        <v>69</v>
      </c>
      <c r="I288" s="11" t="s">
        <v>504</v>
      </c>
    </row>
    <row r="289" spans="1:9" ht="13.5">
      <c r="A289" s="51" t="s">
        <v>512</v>
      </c>
      <c r="B289" s="25" t="s">
        <v>385</v>
      </c>
      <c r="C289" s="11" t="s">
        <v>37</v>
      </c>
      <c r="D289" s="12">
        <v>4</v>
      </c>
      <c r="E289" s="14" t="s">
        <v>318</v>
      </c>
      <c r="F289" s="11">
        <v>3</v>
      </c>
      <c r="G289" s="11">
        <v>5</v>
      </c>
      <c r="H289" s="11" t="s">
        <v>69</v>
      </c>
      <c r="I289" s="11" t="s">
        <v>504</v>
      </c>
    </row>
    <row r="290" spans="1:9" ht="13.5">
      <c r="A290" s="51" t="s">
        <v>512</v>
      </c>
      <c r="B290" s="25" t="s">
        <v>386</v>
      </c>
      <c r="C290" s="11" t="s">
        <v>37</v>
      </c>
      <c r="D290" s="12">
        <v>4</v>
      </c>
      <c r="E290" s="14" t="s">
        <v>318</v>
      </c>
      <c r="F290" s="11">
        <v>3</v>
      </c>
      <c r="G290" s="11">
        <v>5</v>
      </c>
      <c r="H290" s="11" t="s">
        <v>69</v>
      </c>
      <c r="I290" s="11" t="s">
        <v>504</v>
      </c>
    </row>
    <row r="291" spans="1:9" ht="13.5">
      <c r="A291" s="51" t="s">
        <v>512</v>
      </c>
      <c r="B291" s="25" t="s">
        <v>387</v>
      </c>
      <c r="C291" s="11" t="s">
        <v>37</v>
      </c>
      <c r="D291" s="12">
        <v>4</v>
      </c>
      <c r="E291" s="14" t="s">
        <v>318</v>
      </c>
      <c r="F291" s="11">
        <v>3</v>
      </c>
      <c r="G291" s="11">
        <v>5</v>
      </c>
      <c r="H291" s="11" t="s">
        <v>69</v>
      </c>
      <c r="I291" s="11" t="s">
        <v>504</v>
      </c>
    </row>
    <row r="292" spans="1:9" ht="13.5">
      <c r="A292" s="51" t="s">
        <v>512</v>
      </c>
      <c r="B292" s="25" t="s">
        <v>388</v>
      </c>
      <c r="C292" s="11" t="s">
        <v>37</v>
      </c>
      <c r="D292" s="12">
        <v>4</v>
      </c>
      <c r="E292" s="14" t="s">
        <v>318</v>
      </c>
      <c r="F292" s="11">
        <v>3</v>
      </c>
      <c r="G292" s="11">
        <v>5</v>
      </c>
      <c r="H292" s="11" t="s">
        <v>69</v>
      </c>
      <c r="I292" s="11" t="s">
        <v>504</v>
      </c>
    </row>
    <row r="293" spans="1:9">
      <c r="B293" s="28"/>
    </row>
  </sheetData>
  <autoFilter ref="B2:E233" xr:uid="{00000000-0009-0000-0000-000005000000}"/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4</vt:i4>
      </vt:variant>
    </vt:vector>
  </HeadingPairs>
  <TitlesOfParts>
    <vt:vector size="10" baseType="lpstr">
      <vt:lpstr>2027 전학년</vt:lpstr>
      <vt:lpstr>2027 입학생 3개년(1학년)</vt:lpstr>
      <vt:lpstr>2026 입학생 3개년(2학년)</vt:lpstr>
      <vt:lpstr>2025 입학생 3개년(3학년)</vt:lpstr>
      <vt:lpstr>(2022)보통교과 목록</vt:lpstr>
      <vt:lpstr>숨김</vt:lpstr>
      <vt:lpstr>'2025 입학생 3개년(3학년)'!Print_Area</vt:lpstr>
      <vt:lpstr>'2026 입학생 3개년(2학년)'!Print_Area</vt:lpstr>
      <vt:lpstr>'2027 입학생 3개년(1학년)'!Print_Area</vt:lpstr>
      <vt:lpstr>'2027 전학년'!Print_Area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김대희</cp:lastModifiedBy>
  <cp:lastPrinted>2026-06-19T00:22:39Z</cp:lastPrinted>
  <dcterms:created xsi:type="dcterms:W3CDTF">2024-04-04T06:57:53Z</dcterms:created>
  <dcterms:modified xsi:type="dcterms:W3CDTF">2026-08-04T15:41:36Z</dcterms:modified>
</cp:coreProperties>
</file>